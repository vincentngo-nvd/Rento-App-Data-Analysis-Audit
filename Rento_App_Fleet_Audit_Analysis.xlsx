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A03839EA-3B5B-42C2-A4D8-B81D9DE4A941}" xr6:coauthVersionLast="47" xr6:coauthVersionMax="47" xr10:uidLastSave="{00000000-0000-0000-0000-000000000000}"/>
  <bookViews>
    <workbookView xWindow="-108" yWindow="-108" windowWidth="23256" windowHeight="12456" tabRatio="791" activeTab="5" xr2:uid="{B7CCF656-42C9-416B-B831-7C40557FEA71}"/>
  </bookViews>
  <sheets>
    <sheet name="0. Executive Summary" sheetId="4" r:id="rId1"/>
    <sheet name="1. Data Dictionary" sheetId="5" r:id="rId2"/>
    <sheet name="2. Master Data" sheetId="6" r:id="rId3"/>
    <sheet name="3. Data Quality Audit" sheetId="7" r:id="rId4"/>
    <sheet name="4. Analysis &amp; Insights" sheetId="8" r:id="rId5"/>
    <sheet name="5. Business Dashboard" sheetId="9" r:id="rId6"/>
  </sheets>
  <definedNames>
    <definedName name="ExternalData_1" localSheetId="2" hidden="1">'2. Master Data'!$A$1:$Z$9</definedName>
    <definedName name="Slicer_Category">#N/A</definedName>
    <definedName name="Slicer_City">#N/A</definedName>
    <definedName name="Slicer_Month_Name">#N/A</definedName>
  </definedNames>
  <calcPr calcId="191029"/>
  <pivotCaches>
    <pivotCache cacheId="35"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06B44F-CB71-4253-B99A-DD7CE41B2E78}" keepAlive="1" name="Query - Dim_Locations" description="Connection to the 'Dim_Locations' query in the workbook." type="5" refreshedVersion="0" background="1">
    <dbPr connection="Provider=Microsoft.Mashup.OleDb.1;Data Source=$Workbook$;Location=Dim_Locations;Extended Properties=&quot;&quot;" command="SELECT * FROM [Dim_Locations]"/>
  </connection>
  <connection id="2" xr16:uid="{0C4D2859-57B2-4D5A-87E7-15634BAEEE8A}" keepAlive="1" name="Query - Fact_Fleet" description="Connection to the 'Fact_Fleet' query in the workbook." type="5" refreshedVersion="0" background="1">
    <dbPr connection="Provider=Microsoft.Mashup.OleDb.1;Data Source=$Workbook$;Location=Fact_Fleet;Extended Properties=&quot;&quot;" command="SELECT * FROM [Fact_Fleet]"/>
  </connection>
  <connection id="3" xr16:uid="{77DB5931-8AB0-4F03-A8AE-2E2EF94C41FA}" keepAlive="1" name="Query - Fact_Rentals" description="Connection to the 'Fact_Rentals' query in the workbook." type="5" refreshedVersion="0" background="1">
    <dbPr connection="Provider=Microsoft.Mashup.OleDb.1;Data Source=$Workbook$;Location=Fact_Rentals;Extended Properties=&quot;&quot;" command="SELECT * FROM [Fact_Rentals]"/>
  </connection>
  <connection id="4" xr16:uid="{EDFD7C68-DD7B-4392-BAEE-96F74E6150EE}" keepAlive="1" name="Query - Master_Data" description="Connection to the 'Master_Data' query in the workbook." type="5" refreshedVersion="7" background="1" saveData="1">
    <dbPr connection="Provider=Microsoft.Mashup.OleDb.1;Data Source=$Workbook$;Location=Master_Data;Extended Properties=&quot;&quot;" command="SELECT * FROM [Master_Data]"/>
  </connection>
</connections>
</file>

<file path=xl/sharedStrings.xml><?xml version="1.0" encoding="utf-8"?>
<sst xmlns="http://schemas.openxmlformats.org/spreadsheetml/2006/main" count="245" uniqueCount="155">
  <si>
    <t>Hub_Name</t>
  </si>
  <si>
    <t>City</t>
  </si>
  <si>
    <t>Hub_Type</t>
  </si>
  <si>
    <t>L-001</t>
  </si>
  <si>
    <t>Sân bay Tân Sơn Nhất</t>
  </si>
  <si>
    <t>Ho Chi Minh</t>
  </si>
  <si>
    <t>Airport Kiosk</t>
  </si>
  <si>
    <t>L-002</t>
  </si>
  <si>
    <t>Trụ sở Quận 1</t>
  </si>
  <si>
    <t>Headquarters</t>
  </si>
  <si>
    <t>L-003</t>
  </si>
  <si>
    <t>Chi nhánh Cầu Giấy</t>
  </si>
  <si>
    <t>Ha Noi</t>
  </si>
  <si>
    <t>Branch</t>
  </si>
  <si>
    <t>L-004</t>
  </si>
  <si>
    <t>Sân bay Nội Bài</t>
  </si>
  <si>
    <t>Car_ID</t>
  </si>
  <si>
    <t>Make_Model</t>
  </si>
  <si>
    <t>Category</t>
  </si>
  <si>
    <t>Status</t>
  </si>
  <si>
    <t>C-01</t>
  </si>
  <si>
    <t>Toyota Vios</t>
  </si>
  <si>
    <t>Sedan</t>
  </si>
  <si>
    <t>C-02</t>
  </si>
  <si>
    <t>Mazda CX-5</t>
  </si>
  <si>
    <t>SUV</t>
  </si>
  <si>
    <t>C-04</t>
  </si>
  <si>
    <t>C-05</t>
  </si>
  <si>
    <t>Mercedes C300</t>
  </si>
  <si>
    <t>Luxury</t>
  </si>
  <si>
    <t>C-06</t>
  </si>
  <si>
    <t>VinFast Fadil</t>
  </si>
  <si>
    <t>Hatchback</t>
  </si>
  <si>
    <t>C-08</t>
  </si>
  <si>
    <t>Toyota Fortuner</t>
  </si>
  <si>
    <t>C-09</t>
  </si>
  <si>
    <t>Kia Morning</t>
  </si>
  <si>
    <t>C-14</t>
  </si>
  <si>
    <t>Ford Everest</t>
  </si>
  <si>
    <t>Rental_ID</t>
  </si>
  <si>
    <t>User_ID</t>
  </si>
  <si>
    <t>Pickup_Location</t>
  </si>
  <si>
    <t>Return_Location</t>
  </si>
  <si>
    <t>Start_Date</t>
  </si>
  <si>
    <t>End_Date</t>
  </si>
  <si>
    <t>Total_Amount</t>
  </si>
  <si>
    <t>Payment_Method</t>
  </si>
  <si>
    <t>R-1001</t>
  </si>
  <si>
    <t>U-001</t>
  </si>
  <si>
    <t>Credit Card</t>
  </si>
  <si>
    <t>Completed</t>
  </si>
  <si>
    <t>R-1002</t>
  </si>
  <si>
    <t>U-005</t>
  </si>
  <si>
    <t>PayPal</t>
  </si>
  <si>
    <t>R-1003</t>
  </si>
  <si>
    <t>U-009</t>
  </si>
  <si>
    <t>Cash</t>
  </si>
  <si>
    <t>R-1004</t>
  </si>
  <si>
    <t>U-002</t>
  </si>
  <si>
    <t>Stripe</t>
  </si>
  <si>
    <t>R-1005</t>
  </si>
  <si>
    <t>U-012</t>
  </si>
  <si>
    <t>R-1006</t>
  </si>
  <si>
    <t>U-015</t>
  </si>
  <si>
    <t>Bank Transfer</t>
  </si>
  <si>
    <t>Cancelled</t>
  </si>
  <si>
    <t>R-1007</t>
  </si>
  <si>
    <t>U-022</t>
  </si>
  <si>
    <t>Active</t>
  </si>
  <si>
    <t>R-1008</t>
  </si>
  <si>
    <t>U-003</t>
  </si>
  <si>
    <t>Overdue</t>
  </si>
  <si>
    <t>Duration_Days</t>
  </si>
  <si>
    <t>Unit_Price</t>
  </si>
  <si>
    <t>Expected_Revenue</t>
  </si>
  <si>
    <t>Discount_Amount</t>
  </si>
  <si>
    <t>RENTO APP - FLEET PERFORMANCE AUDIT REPORT</t>
  </si>
  <si>
    <t>Booking_Date</t>
  </si>
  <si>
    <t>Rental_Days</t>
  </si>
  <si>
    <t>Lead_Time</t>
  </si>
  <si>
    <t>Booking_Weekend</t>
  </si>
  <si>
    <t>Wednesday</t>
  </si>
  <si>
    <t>Weekday</t>
  </si>
  <si>
    <t>Thursday</t>
  </si>
  <si>
    <t>Saturday</t>
  </si>
  <si>
    <t>Weekend</t>
  </si>
  <si>
    <t>Sunday</t>
  </si>
  <si>
    <t>Friday</t>
  </si>
  <si>
    <t>Monday</t>
  </si>
  <si>
    <t>MỤC LỤC</t>
  </si>
  <si>
    <t>2. Master Data</t>
  </si>
  <si>
    <t>Issue_ID</t>
  </si>
  <si>
    <t>Error_Type</t>
  </si>
  <si>
    <t>Detailed_Description</t>
  </si>
  <si>
    <t>Suggested_Solution</t>
  </si>
  <si>
    <t>Mâu thuẫn trạng thái (Status Conflict)</t>
  </si>
  <si>
    <r>
      <rPr>
        <b/>
        <sz val="11"/>
        <color theme="1"/>
        <rFont val="Calibri"/>
        <family val="2"/>
        <scheme val="minor"/>
      </rPr>
      <t>Data Source</t>
    </r>
    <r>
      <rPr>
        <sz val="11"/>
        <color theme="1"/>
        <rFont val="Calibri"/>
        <family val="2"/>
        <scheme val="minor"/>
      </rPr>
      <t>: Dữ liệu trích xuất từ hệ thống Production (Rentals, Fleet, Locations).</t>
    </r>
  </si>
  <si>
    <t>Kiểm tra tính toàn vẹn của dữ liệu và phát hiện các lỗi logic hệ thống.</t>
  </si>
  <si>
    <t>Phân tích hiệu suất vận hành của đội xe và doanh thu thực tế.</t>
  </si>
  <si>
    <t>Đề xuất phương án tối ưu hóa vận chuyển giữa các Hub và quản lý tồn kho.</t>
  </si>
  <si>
    <t>TIÊU ĐỀ CHÍNH</t>
  </si>
  <si>
    <t>THÔNG TIN CHUNG</t>
  </si>
  <si>
    <t>MỤC TIÊU DỰ ÁN</t>
  </si>
  <si>
    <t>Gây lỗi đặt trùng xe (Double Booking), khách hàng đến nhận xe nhưng xe không có tại Hub.</t>
  </si>
  <si>
    <t>Thiết lập Trigger tự động cập nhật trạng thái xe ngay khi đơn hàng được xác nhận thành công.</t>
  </si>
  <si>
    <t>Xe "Ghost" (Xe thuê không đơn hàng)</t>
  </si>
  <si>
    <t>Các xe C-02, C-06, C-09 hiển thị trạng thái "Rented" (Đang cho thuê) nhưng không tìm thấy mã Rental_ID nào tương ứng đang hoạt động.</t>
  </si>
  <si>
    <t>Lãng phí tài sản, xe nằm không nhưng hệ thống báo đang thuê khiến khách không đặt được.</t>
  </si>
  <si>
    <t>Nhân viên cần kiểm tra lại quy trình "Check-in" khi khách trả xe để đảm bảo trạng thái xe được cập nhật về "Available".</t>
  </si>
  <si>
    <t>Lỗi logic thời gian (Time Logic Error)</t>
  </si>
  <si>
    <t>Một số đơn hàng có ngày đặt xe (Booking_Date) trùng hoặc sau ngày bắt đầu thuê (Start_Date).</t>
  </si>
  <si>
    <r>
      <t xml:space="preserve">Ảnh hưởng đến việc tính toán </t>
    </r>
    <r>
      <rPr>
        <sz val="10"/>
        <color theme="1"/>
        <rFont val="Arial Unicode MS"/>
      </rPr>
      <t>Lead_Time</t>
    </r>
    <r>
      <rPr>
        <sz val="11"/>
        <color theme="1"/>
        <rFont val="Calibri"/>
        <family val="2"/>
        <scheme val="minor"/>
      </rPr>
      <t xml:space="preserve"> (Thời gian đặt trước), gây sai lệch dữ liệu phân tích hành vi khách hàng.</t>
    </r>
  </si>
  <si>
    <t>Ràng buộc phía Frontend không cho phép chọn ngày đặt sau ngày đi.</t>
  </si>
  <si>
    <t>Risk</t>
  </si>
  <si>
    <t>Xe C-08 có trạng thái là "Available" (Sẵn sàng) trong bảng Fleet, nhưng thực tế đang có đơn thuê (Rentals) hoạt động trong cùng thời điểm.</t>
  </si>
  <si>
    <t>Nghiêm trọng (High)</t>
  </si>
  <si>
    <t>Trung bình (Medium)</t>
  </si>
  <si>
    <t>Risk_Level</t>
  </si>
  <si>
    <t>Row Labels</t>
  </si>
  <si>
    <t>Grand Total</t>
  </si>
  <si>
    <t>Sum of Expected_Revenue</t>
  </si>
  <si>
    <t>Day_Name</t>
  </si>
  <si>
    <t>Month</t>
  </si>
  <si>
    <t>Month_Name</t>
  </si>
  <si>
    <t>January</t>
  </si>
  <si>
    <t>February</t>
  </si>
  <si>
    <t>Sum of Month</t>
  </si>
  <si>
    <t>Đã sửa (Fixed)</t>
  </si>
  <si>
    <t>Field Name</t>
  </si>
  <si>
    <t>Data Type</t>
  </si>
  <si>
    <t>Description</t>
  </si>
  <si>
    <t>Text</t>
  </si>
  <si>
    <t>Mã định danh duy nhất của đơn thuê (Primary Key)</t>
  </si>
  <si>
    <t>Mã định danh của xe</t>
  </si>
  <si>
    <t>Date</t>
  </si>
  <si>
    <t>Ngày khách bắt đầu nhận xe</t>
  </si>
  <si>
    <t>Currency</t>
  </si>
  <si>
    <t>Tổng doanh thu của đơn hàng (VND)</t>
  </si>
  <si>
    <t>Trạng thái đơn hàng (Completed, Cancelled, Overdue)</t>
  </si>
  <si>
    <t>Number</t>
  </si>
  <si>
    <t>Số ngày khách đặt trước khi nhận xe (Calculated Column)</t>
  </si>
  <si>
    <t>RevPAR</t>
  </si>
  <si>
    <t>Revenue Per Available Rental - Chỉ số doanh thu trên mỗi xe sẵn có</t>
  </si>
  <si>
    <t>Tên chi nhánh quản lý xe (Sân bay Tân Sơn Nhất, Nội Bài...)</t>
  </si>
  <si>
    <t>Car_Category</t>
  </si>
  <si>
    <t>Phân loại xe (Sedan, SUV, Hatchback...)</t>
  </si>
  <si>
    <r>
      <rPr>
        <b/>
        <sz val="11"/>
        <color theme="1"/>
        <rFont val="Calibri"/>
        <family val="2"/>
        <scheme val="minor"/>
      </rPr>
      <t>Analyst</t>
    </r>
    <r>
      <rPr>
        <sz val="11"/>
        <color theme="1"/>
        <rFont val="Calibri"/>
        <family val="2"/>
        <scheme val="minor"/>
      </rPr>
      <t>: Ngo Van Duong.</t>
    </r>
  </si>
  <si>
    <r>
      <rPr>
        <b/>
        <sz val="11"/>
        <color theme="1"/>
        <rFont val="Calibri"/>
        <family val="2"/>
        <scheme val="minor"/>
      </rPr>
      <t>Date</t>
    </r>
    <r>
      <rPr>
        <sz val="11"/>
        <color theme="1"/>
        <rFont val="Calibri"/>
        <family val="2"/>
        <scheme val="minor"/>
      </rPr>
      <t>: 20/01/2026.</t>
    </r>
  </si>
  <si>
    <t>1. Data Dictionary</t>
  </si>
  <si>
    <t>3. Data Quality Audit</t>
  </si>
  <si>
    <t>4. Analysis &amp; Insights</t>
  </si>
  <si>
    <t>5. Business Dashboard</t>
  </si>
  <si>
    <t>Total Revenue</t>
  </si>
  <si>
    <t>Number of Bookings</t>
  </si>
  <si>
    <t>Average Trip 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</si>
</sst>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quot;VND&quot;"/>
  </numFmts>
  <fonts count="12">
    <font>
      <sz val="11"/>
      <color theme="1"/>
      <name val="Calibri"/>
      <family val="2"/>
      <scheme val="minor"/>
    </font>
    <font>
      <b/>
      <sz val="20"/>
      <color theme="4" tint="-0.249977111117893"/>
      <name val="Segoe UI"/>
      <family val="2"/>
    </font>
    <font>
      <b/>
      <sz val="11"/>
      <color theme="1"/>
      <name val="Calibri"/>
      <family val="2"/>
      <scheme val="minor"/>
    </font>
    <font>
      <sz val="11"/>
      <color theme="0"/>
      <name val="Calibri"/>
      <family val="2"/>
      <scheme val="minor"/>
    </font>
    <font>
      <u/>
      <sz val="11"/>
      <color theme="10"/>
      <name val="Calibri"/>
      <family val="2"/>
      <scheme val="minor"/>
    </font>
    <font>
      <sz val="10"/>
      <color theme="1"/>
      <name val="Arial Unicode MS"/>
    </font>
    <font>
      <b/>
      <sz val="14"/>
      <color theme="0"/>
      <name val="Calibri"/>
      <family val="2"/>
      <scheme val="minor"/>
    </font>
    <font>
      <sz val="8"/>
      <name val="Calibri"/>
      <family val="2"/>
      <scheme val="minor"/>
    </font>
    <font>
      <b/>
      <sz val="11"/>
      <color theme="0"/>
      <name val="Calibri"/>
      <family val="2"/>
      <scheme val="minor"/>
    </font>
    <font>
      <sz val="10"/>
      <color theme="1"/>
      <name val="Arial"/>
      <family val="2"/>
    </font>
    <font>
      <b/>
      <sz val="12"/>
      <color theme="0"/>
      <name val="Arial"/>
      <family val="2"/>
    </font>
    <font>
      <b/>
      <sz val="12"/>
      <color theme="0"/>
      <name val="Calibri"/>
      <family val="2"/>
      <scheme val="minor"/>
    </font>
  </fonts>
  <fills count="7">
    <fill>
      <patternFill patternType="none"/>
    </fill>
    <fill>
      <patternFill patternType="gray125"/>
    </fill>
    <fill>
      <patternFill patternType="solid">
        <fgColor rgb="FFFF3300"/>
        <bgColor indexed="64"/>
      </patternFill>
    </fill>
    <fill>
      <patternFill patternType="solid">
        <fgColor rgb="FF1F4E78"/>
        <bgColor indexed="64"/>
      </patternFill>
    </fill>
    <fill>
      <patternFill patternType="solid">
        <fgColor theme="2" tint="-9.9978637043366805E-2"/>
        <bgColor indexed="64"/>
      </patternFill>
    </fill>
    <fill>
      <patternFill patternType="solid">
        <fgColor theme="4" tint="0.39997558519241921"/>
        <bgColor indexed="64"/>
      </patternFill>
    </fill>
    <fill>
      <patternFill patternType="solid">
        <fgColor theme="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53">
    <xf numFmtId="0" fontId="0" fillId="0" borderId="0" xfId="0"/>
    <xf numFmtId="0" fontId="0" fillId="0" borderId="0" xfId="0" applyNumberFormat="1"/>
    <xf numFmtId="0" fontId="0" fillId="0" borderId="0" xfId="0" applyAlignment="1">
      <alignment horizontal="left" vertical="center"/>
    </xf>
    <xf numFmtId="14" fontId="0" fillId="0" borderId="0" xfId="0" applyNumberFormat="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xf>
    <xf numFmtId="0" fontId="0" fillId="0" borderId="0" xfId="0" applyAlignment="1">
      <alignment horizontal="center" vertical="center"/>
    </xf>
    <xf numFmtId="0" fontId="1" fillId="0" borderId="1" xfId="0" applyFont="1" applyBorder="1" applyAlignment="1">
      <alignment vertical="center"/>
    </xf>
    <xf numFmtId="0" fontId="0" fillId="0" borderId="0" xfId="0" applyAlignment="1">
      <alignment horizontal="left" vertical="center" indent="2"/>
    </xf>
    <xf numFmtId="164" fontId="0" fillId="0" borderId="0" xfId="0" applyNumberFormat="1"/>
    <xf numFmtId="0" fontId="3" fillId="3" borderId="0" xfId="0" applyFont="1" applyFill="1"/>
    <xf numFmtId="0" fontId="3" fillId="3" borderId="0" xfId="0" applyFont="1" applyFill="1" applyAlignment="1">
      <alignment horizontal="left"/>
    </xf>
    <xf numFmtId="0" fontId="3" fillId="3" borderId="0" xfId="0" applyNumberFormat="1" applyFont="1" applyFill="1"/>
    <xf numFmtId="164" fontId="3" fillId="3" borderId="0" xfId="0" applyNumberFormat="1" applyFont="1" applyFill="1"/>
    <xf numFmtId="0" fontId="0" fillId="4" borderId="0" xfId="0" applyFill="1"/>
    <xf numFmtId="0" fontId="9" fillId="0" borderId="3" xfId="0" applyFont="1" applyBorder="1" applyAlignment="1">
      <alignment vertical="center" wrapText="1"/>
    </xf>
    <xf numFmtId="0" fontId="9" fillId="0" borderId="4" xfId="0" applyFont="1" applyBorder="1" applyAlignment="1">
      <alignment vertical="center" wrapText="1"/>
    </xf>
    <xf numFmtId="0" fontId="9" fillId="0" borderId="5" xfId="0" applyFont="1" applyBorder="1" applyAlignment="1">
      <alignment vertical="center" wrapText="1"/>
    </xf>
    <xf numFmtId="0" fontId="10" fillId="3" borderId="6" xfId="0" applyFont="1" applyFill="1" applyBorder="1" applyAlignment="1">
      <alignment horizontal="center" vertical="center" wrapText="1"/>
    </xf>
    <xf numFmtId="0" fontId="10" fillId="3" borderId="7" xfId="0" applyFont="1" applyFill="1" applyBorder="1" applyAlignment="1">
      <alignment horizontal="center" vertical="center" wrapText="1"/>
    </xf>
    <xf numFmtId="0" fontId="10" fillId="3" borderId="8" xfId="0" applyFont="1" applyFill="1" applyBorder="1" applyAlignment="1">
      <alignment horizontal="center" vertical="center" wrapText="1"/>
    </xf>
    <xf numFmtId="0" fontId="9" fillId="0" borderId="9" xfId="0" applyFont="1" applyBorder="1" applyAlignment="1">
      <alignment vertical="center" wrapText="1"/>
    </xf>
    <xf numFmtId="0" fontId="9" fillId="0" borderId="10" xfId="0" applyFont="1" applyBorder="1" applyAlignment="1">
      <alignment vertical="center" wrapText="1"/>
    </xf>
    <xf numFmtId="0" fontId="9" fillId="0" borderId="11" xfId="0" applyFont="1" applyBorder="1" applyAlignment="1">
      <alignment vertical="center" wrapText="1"/>
    </xf>
    <xf numFmtId="0" fontId="11" fillId="3" borderId="1" xfId="0" applyFont="1" applyFill="1" applyBorder="1" applyAlignment="1">
      <alignment horizontal="left" vertical="center" indent="1"/>
    </xf>
    <xf numFmtId="0" fontId="0" fillId="0" borderId="1" xfId="0" applyBorder="1" applyAlignment="1">
      <alignment horizontal="left" vertical="center" indent="1"/>
    </xf>
    <xf numFmtId="0" fontId="0" fillId="0" borderId="20" xfId="0" applyBorder="1" applyAlignment="1">
      <alignment horizontal="left" vertical="center" indent="3"/>
    </xf>
    <xf numFmtId="0" fontId="0" fillId="0" borderId="19" xfId="0" applyBorder="1" applyAlignment="1">
      <alignment horizontal="left" vertical="center" indent="3"/>
    </xf>
    <xf numFmtId="0" fontId="0" fillId="0" borderId="21" xfId="0" applyBorder="1" applyAlignment="1">
      <alignment horizontal="left" vertical="center" indent="3"/>
    </xf>
    <xf numFmtId="0" fontId="4" fillId="0" borderId="20" xfId="1" applyFill="1" applyBorder="1" applyAlignment="1">
      <alignment horizontal="left" indent="1"/>
    </xf>
    <xf numFmtId="0" fontId="4" fillId="0" borderId="19" xfId="1" applyFill="1" applyBorder="1" applyAlignment="1">
      <alignment horizontal="left" indent="1"/>
    </xf>
    <xf numFmtId="0" fontId="4" fillId="0" borderId="21" xfId="1" applyFill="1" applyBorder="1" applyAlignment="1">
      <alignment horizontal="left" indent="1"/>
    </xf>
    <xf numFmtId="0" fontId="6" fillId="2" borderId="14"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15" xfId="0" applyFont="1" applyFill="1" applyBorder="1" applyAlignment="1">
      <alignment horizontal="center" vertical="center"/>
    </xf>
    <xf numFmtId="0" fontId="8" fillId="5" borderId="18" xfId="0" applyFont="1" applyFill="1" applyBorder="1" applyAlignment="1">
      <alignment horizontal="left" vertical="center" wrapText="1"/>
    </xf>
    <xf numFmtId="0" fontId="8" fillId="5" borderId="13" xfId="0" applyFont="1" applyFill="1" applyBorder="1" applyAlignment="1">
      <alignment horizontal="left" vertical="center" wrapText="1"/>
    </xf>
    <xf numFmtId="0" fontId="8" fillId="5" borderId="17" xfId="0" applyFont="1" applyFill="1" applyBorder="1" applyAlignment="1">
      <alignment horizontal="left" vertical="center" wrapText="1"/>
    </xf>
    <xf numFmtId="0" fontId="0" fillId="6" borderId="12" xfId="0" applyFill="1" applyBorder="1" applyAlignment="1">
      <alignment horizontal="center" vertical="center"/>
    </xf>
    <xf numFmtId="0" fontId="0" fillId="6" borderId="1" xfId="0" applyFill="1" applyBorder="1" applyAlignment="1">
      <alignment horizontal="left" vertical="center"/>
    </xf>
    <xf numFmtId="0" fontId="0" fillId="6" borderId="1" xfId="0" applyFill="1" applyBorder="1" applyAlignment="1">
      <alignment horizontal="left" vertical="center" wrapText="1"/>
    </xf>
    <xf numFmtId="0" fontId="0" fillId="6" borderId="1" xfId="0" applyFont="1" applyFill="1" applyBorder="1" applyAlignment="1">
      <alignment vertical="center"/>
    </xf>
    <xf numFmtId="0" fontId="0" fillId="6" borderId="1" xfId="0" applyFill="1" applyBorder="1" applyAlignment="1">
      <alignment vertical="center" wrapText="1"/>
    </xf>
    <xf numFmtId="0" fontId="0" fillId="6" borderId="16" xfId="0" applyFill="1" applyBorder="1" applyAlignment="1">
      <alignment horizontal="center" vertical="center"/>
    </xf>
    <xf numFmtId="0" fontId="0" fillId="6" borderId="20" xfId="0" applyFill="1" applyBorder="1" applyAlignment="1">
      <alignment vertical="center"/>
    </xf>
    <xf numFmtId="0" fontId="0" fillId="6" borderId="20" xfId="0" applyFill="1" applyBorder="1" applyAlignment="1">
      <alignment vertical="center" wrapText="1"/>
    </xf>
    <xf numFmtId="0" fontId="0" fillId="6" borderId="20" xfId="0" applyFill="1" applyBorder="1" applyAlignment="1">
      <alignment horizontal="left" vertical="center"/>
    </xf>
    <xf numFmtId="0" fontId="0" fillId="6" borderId="20" xfId="0" applyFill="1" applyBorder="1" applyAlignment="1">
      <alignment horizontal="left" vertical="center" wrapText="1"/>
    </xf>
    <xf numFmtId="0" fontId="11" fillId="3" borderId="20" xfId="0" applyFont="1" applyFill="1" applyBorder="1" applyAlignment="1">
      <alignment horizontal="left" vertical="center" indent="1"/>
    </xf>
    <xf numFmtId="0" fontId="11" fillId="3" borderId="2" xfId="0" applyFont="1" applyFill="1" applyBorder="1" applyAlignment="1">
      <alignment horizontal="left" vertical="center" indent="1"/>
    </xf>
    <xf numFmtId="0" fontId="11" fillId="3" borderId="21" xfId="0" applyFont="1" applyFill="1" applyBorder="1" applyAlignment="1">
      <alignment horizontal="left" vertical="center" indent="1"/>
    </xf>
    <xf numFmtId="0" fontId="11" fillId="3" borderId="18" xfId="0" applyFont="1" applyFill="1" applyBorder="1" applyAlignment="1">
      <alignment horizontal="left" vertical="center" indent="1"/>
    </xf>
  </cellXfs>
  <cellStyles count="2">
    <cellStyle name="Hyperlink" xfId="1" builtinId="8"/>
    <cellStyle name="Normal" xfId="0" builtinId="0"/>
  </cellStyles>
  <dxfs count="14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ont>
        <color theme="0"/>
      </font>
    </dxf>
    <dxf>
      <fill>
        <patternFill patternType="solid">
          <bgColor rgb="FF1F4E78"/>
        </patternFill>
      </fill>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ont>
        <color theme="0"/>
      </font>
    </dxf>
    <dxf>
      <fill>
        <patternFill patternType="solid">
          <bgColor rgb="FF1F4E78"/>
        </patternFill>
      </fill>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ont>
        <color theme="0"/>
      </font>
    </dxf>
    <dxf>
      <fill>
        <patternFill patternType="solid">
          <bgColor rgb="FF1F4E78"/>
        </patternFill>
      </fill>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ill>
        <patternFill patternType="solid">
          <bgColor rgb="FF1F4E78"/>
        </patternFill>
      </fill>
    </dxf>
    <dxf>
      <font>
        <color theme="0"/>
      </font>
    </dxf>
    <dxf>
      <font>
        <color theme="0"/>
      </font>
    </dxf>
    <dxf>
      <font>
        <color theme="0"/>
      </font>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ill>
        <patternFill patternType="solid">
          <bgColor rgb="FF1F4E78"/>
        </patternFill>
      </fill>
    </dxf>
    <dxf>
      <font>
        <color theme="0"/>
      </font>
    </dxf>
    <dxf>
      <fill>
        <patternFill patternType="solid">
          <bgColor rgb="FF1F4E78"/>
        </patternFill>
      </fill>
    </dxf>
    <dxf>
      <font>
        <color theme="0"/>
      </font>
    </dxf>
    <dxf>
      <fill>
        <patternFill patternType="solid">
          <bgColor rgb="FF1F4E78"/>
        </patternFill>
      </fill>
    </dxf>
    <dxf>
      <font>
        <color theme="0"/>
      </font>
    </dxf>
    <dxf>
      <font>
        <color theme="0"/>
      </font>
    </dxf>
    <dxf>
      <fill>
        <patternFill patternType="solid">
          <bgColor rgb="FF1F4E78"/>
        </patternFill>
      </fill>
    </dxf>
    <dxf>
      <fill>
        <patternFill patternType="solid">
          <bgColor rgb="FF1F4E78"/>
        </patternFill>
      </fill>
    </dxf>
    <dxf>
      <font>
        <color theme="0"/>
      </font>
    </dxf>
    <dxf>
      <fill>
        <patternFill patternType="solid">
          <bgColor rgb="FF1F4E78"/>
        </patternFill>
      </fill>
    </dxf>
    <dxf>
      <font>
        <color theme="0"/>
      </font>
    </dxf>
    <dxf>
      <font>
        <color theme="0"/>
      </font>
    </dxf>
    <dxf>
      <fill>
        <patternFill patternType="solid">
          <bgColor rgb="FF1F4E78"/>
        </patternFill>
      </fill>
    </dxf>
    <dxf>
      <fill>
        <patternFill patternType="solid">
          <bgColor rgb="FF1F4E78"/>
        </patternFill>
      </fill>
    </dxf>
    <dxf>
      <font>
        <b/>
        <strike val="0"/>
        <outline val="0"/>
        <shadow val="0"/>
        <u val="none"/>
        <vertAlign val="baseline"/>
        <sz val="11"/>
        <color theme="0"/>
        <name val="Calibri"/>
        <family val="2"/>
        <scheme val="minor"/>
      </font>
      <fill>
        <patternFill patternType="solid">
          <fgColor indexed="64"/>
          <bgColor theme="4" tint="0.39997558519241921"/>
        </patternFill>
      </fill>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outline="0">
        <left style="thin">
          <color indexed="64"/>
        </left>
      </border>
    </dxf>
    <dxf>
      <fill>
        <patternFill patternType="solid">
          <fgColor indexed="64"/>
          <bgColor theme="0"/>
        </patternFill>
      </fill>
      <border outline="0">
        <left style="thin">
          <color indexed="64"/>
        </left>
      </border>
    </dxf>
    <dxf>
      <fill>
        <patternFill patternType="solid">
          <fgColor indexed="64"/>
          <bgColor theme="0"/>
        </patternFill>
      </fill>
      <border outline="0">
        <left style="thin">
          <color indexed="64"/>
        </left>
      </border>
    </dxf>
    <dxf>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theme="0"/>
        <name val="Calibri"/>
        <family val="2"/>
        <scheme val="minor"/>
      </font>
      <fill>
        <patternFill patternType="solid">
          <fgColor indexed="64"/>
          <bgColor rgb="FFFF33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border outline="0">
        <bottom style="medium">
          <color rgb="FFCCCCCC"/>
        </bottom>
      </border>
    </dxf>
    <dxf>
      <font>
        <b/>
        <i val="0"/>
        <strike val="0"/>
        <condense val="0"/>
        <extend val="0"/>
        <outline val="0"/>
        <shadow val="0"/>
        <u val="none"/>
        <vertAlign val="baseline"/>
        <sz val="12"/>
        <color theme="0"/>
        <name val="Arial"/>
        <family val="2"/>
        <scheme val="none"/>
      </font>
      <fill>
        <patternFill patternType="solid">
          <fgColor indexed="64"/>
          <bgColor rgb="FF1F4E78"/>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colors>
    <mruColors>
      <color rgb="FF1F4E78"/>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[Rento_App_Fleet_Audit_Analysis.xlsx]4. Analysis &amp; Insights!PivotTable2</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i="0" u="none" strike="noStrike" baseline="0"/>
              <a:t>Top Revenue By Car Category</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'4. Analysis &amp; Insights'!$G$3</c:f>
              <c:strCache>
                <c:ptCount val="1"/>
                <c:pt idx="0">
                  <c:v>Total</c:v>
                </c:pt>
              </c:strCache>
            </c:strRef>
          </c:tx>
          <c:spPr>
            <a:solidFill>
              <a:schemeClr val="accent1"/>
            </a:solidFill>
            <a:ln>
              <a:noFill/>
            </a:ln>
            <a:effectLst/>
          </c:spPr>
          <c:invertIfNegative val="0"/>
          <c:cat>
            <c:strRef>
              <c:f>'4. Analysis &amp; Insights'!$F$4:$F$8</c:f>
              <c:strCache>
                <c:ptCount val="4"/>
                <c:pt idx="0">
                  <c:v>SUV</c:v>
                </c:pt>
                <c:pt idx="1">
                  <c:v>Luxury</c:v>
                </c:pt>
                <c:pt idx="2">
                  <c:v>Sedan</c:v>
                </c:pt>
                <c:pt idx="3">
                  <c:v>Hatchback</c:v>
                </c:pt>
              </c:strCache>
            </c:strRef>
          </c:cat>
          <c:val>
            <c:numRef>
              <c:f>'4. Analysis &amp; Insights'!$G$4:$G$8</c:f>
              <c:numCache>
                <c:formatCode>General</c:formatCode>
                <c:ptCount val="4"/>
                <c:pt idx="0">
                  <c:v>13000000</c:v>
                </c:pt>
                <c:pt idx="1">
                  <c:v>5000000</c:v>
                </c:pt>
                <c:pt idx="2">
                  <c:v>4800000</c:v>
                </c:pt>
                <c:pt idx="3">
                  <c:v>4000000</c:v>
                </c:pt>
              </c:numCache>
            </c:numRef>
          </c:val>
          <c:extLst>
            <c:ext xmlns:c16="http://schemas.microsoft.com/office/drawing/2014/chart" uri="{C3380CC4-5D6E-409C-BE32-E72D297353CC}">
              <c16:uniqueId val="{00000000-6323-4BEA-9DC6-FE05B4B80FD1}"/>
            </c:ext>
          </c:extLst>
        </c:ser>
        <c:dLbls>
          <c:showLegendKey val="0"/>
          <c:showVal val="0"/>
          <c:showCatName val="0"/>
          <c:showSerName val="0"/>
          <c:showPercent val="0"/>
          <c:showBubbleSize val="0"/>
        </c:dLbls>
        <c:gapWidth val="182"/>
        <c:axId val="2034576608"/>
        <c:axId val="2034575360"/>
      </c:barChart>
      <c:catAx>
        <c:axId val="2034576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575360"/>
        <c:crosses val="autoZero"/>
        <c:auto val="1"/>
        <c:lblAlgn val="ctr"/>
        <c:lblOffset val="100"/>
        <c:noMultiLvlLbl val="0"/>
      </c:catAx>
      <c:valAx>
        <c:axId val="2034575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57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[Rento_App_Fleet_Audit_Analysis.xlsx]4. Analysis &amp; Insights!PivotTable3</c:name>
    <c:fmtId val="17"/>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i="0" u="none" strike="noStrike" baseline="0"/>
              <a:t>Monthly Revenue Trends</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'4. Analysis &amp; Insights'!$G$13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'4. Analysis &amp; Insights'!$F$14:$F$24</c:f>
              <c:multiLvlStrCache>
                <c:ptCount val="8"/>
                <c:lvl>
                  <c:pt idx="0">
                    <c:v>1000000</c:v>
                  </c:pt>
                  <c:pt idx="1">
                    <c:v>1600000</c:v>
                  </c:pt>
                  <c:pt idx="2">
                    <c:v>2900000</c:v>
                  </c:pt>
                  <c:pt idx="3">
                    <c:v>3000000</c:v>
                  </c:pt>
                  <c:pt idx="4">
                    <c:v>3600000</c:v>
                  </c:pt>
                  <c:pt idx="5">
                    <c:v>5000000</c:v>
                  </c:pt>
                  <c:pt idx="6">
                    <c:v>6500000</c:v>
                  </c:pt>
                  <c:pt idx="7">
                    <c:v>3200000</c:v>
                  </c:pt>
                </c:lvl>
                <c:lvl>
                  <c:pt idx="0">
                    <c:v>January</c:v>
                  </c:pt>
                  <c:pt idx="7">
                    <c:v>February</c:v>
                  </c:pt>
                </c:lvl>
              </c:multiLvlStrCache>
            </c:multiLvlStrRef>
          </c:cat>
          <c:val>
            <c:numRef>
              <c:f>'4. Analysis &amp; Insights'!$G$14:$G$24</c:f>
              <c:numCache>
                <c:formatCode>General</c:formatCode>
                <c:ptCount val="8"/>
                <c:pt idx="0">
                  <c:v>1</c:v>
                </c:pt>
                <c:pt idx="1">
                  <c:v>1</c:v>
                </c:pt>
                <c:pt idx="2">
                  <c:v>1</c:v>
                </c:pt>
                <c:pt idx="3">
                  <c:v>1</c:v>
                </c:pt>
                <c:pt idx="4">
                  <c:v>1</c:v>
                </c:pt>
                <c:pt idx="5">
                  <c:v>1</c:v>
                </c:pt>
                <c:pt idx="6">
                  <c:v>1</c:v>
                </c:pt>
                <c:pt idx="7">
                  <c:v>2</c:v>
                </c:pt>
              </c:numCache>
            </c:numRef>
          </c:val>
          <c:smooth val="0"/>
          <c:extLst>
            <c:ext xmlns:c16="http://schemas.microsoft.com/office/drawing/2014/chart" uri="{C3380CC4-5D6E-409C-BE32-E72D297353CC}">
              <c16:uniqueId val="{00000001-1C82-4B72-A3BC-C94C308F0892}"/>
            </c:ext>
          </c:extLst>
        </c:ser>
        <c:dLbls>
          <c:showLegendKey val="0"/>
          <c:showVal val="0"/>
          <c:showCatName val="0"/>
          <c:showSerName val="0"/>
          <c:showPercent val="0"/>
          <c:showBubbleSize val="0"/>
        </c:dLbls>
        <c:marker val="1"/>
        <c:smooth val="0"/>
        <c:axId val="1064371248"/>
        <c:axId val="1064371664"/>
      </c:lineChart>
      <c:catAx>
        <c:axId val="106437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371664"/>
        <c:crosses val="autoZero"/>
        <c:auto val="1"/>
        <c:lblAlgn val="ctr"/>
        <c:lblOffset val="100"/>
        <c:noMultiLvlLbl val="0"/>
      </c:catAx>
      <c:valAx>
        <c:axId val="1064371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371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[Rento_App_Fleet_Audit_Analysis.xlsx]4. Analysis &amp; Insights!PivotTable1</c:name>
    <c:fmtId val="9"/>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i="0" u="none" strike="noStrike" baseline="0"/>
              <a:t>Total Bookings</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s>
    <c:plotArea>
      <c:layout/>
      <c:pieChart>
        <c:varyColors val="1"/>
        <c:ser>
          <c:idx val="0"/>
          <c:order val="0"/>
          <c:tx>
            <c:strRef>
              <c:f>'4. Analysis &amp; Insights'!$B$3</c:f>
              <c:strCache>
                <c:ptCount val="1"/>
                <c:pt idx="0">
                  <c:v>Number of Bookings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CC-48A5-BAFC-20DD9E76A4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CC-48A5-BAFC-20DD9E76A4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ACC-48A5-BAFC-20DD9E76A4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ACC-48A5-BAFC-20DD9E76A4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ACC-48A5-BAFC-20DD9E76A48D}"/>
              </c:ext>
            </c:extLst>
          </c:dPt>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'4. Analysis &amp; Insights'!$A$4:$A$15</c:f>
              <c:multiLvlStrCache>
                <c:ptCount val="5"/>
                <c:lvl>
                  <c:pt idx="0">
                    <c:v>January</c:v>
                  </c:pt>
                  <c:pt idx="1">
                    <c:v>January</c:v>
                  </c:pt>
                  <c:pt idx="2">
                    <c:v>January</c:v>
                  </c:pt>
                  <c:pt idx="3">
                    <c:v>February</c:v>
                  </c:pt>
                  <c:pt idx="4">
                    <c:v>January</c:v>
                  </c:pt>
                </c:lvl>
                <c:lvl>
                  <c:pt idx="0">
                    <c:v>Chi nhánh Cầu Giấy</c:v>
                  </c:pt>
                  <c:pt idx="1">
                    <c:v>Sân bay Nội Bài</c:v>
                  </c:pt>
                  <c:pt idx="2">
                    <c:v>Sân bay Tân Sơn Nhất</c:v>
                  </c:pt>
                  <c:pt idx="4">
                    <c:v>Trụ sở Quận 1</c:v>
                  </c:pt>
                </c:lvl>
                <c:lvl>
                  <c:pt idx="0">
                    <c:v>Ha Noi</c:v>
                  </c:pt>
                  <c:pt idx="2">
                    <c:v>Ho Chi Minh</c:v>
                  </c:pt>
                </c:lvl>
              </c:multiLvlStrCache>
            </c:multiLvlStrRef>
          </c:cat>
          <c:val>
            <c:numRef>
              <c:f>'4. Analysis &amp; Insights'!$B$4:$B$15</c:f>
              <c:numCache>
                <c:formatCode>General</c:formatCode>
                <c:ptCount val="5"/>
                <c:pt idx="0">
                  <c:v>2</c:v>
                </c:pt>
                <c:pt idx="1">
                  <c:v>1</c:v>
                </c:pt>
                <c:pt idx="2">
                  <c:v>2</c:v>
                </c:pt>
                <c:pt idx="3">
                  <c:v>1</c:v>
                </c:pt>
                <c:pt idx="4">
                  <c:v>2</c:v>
                </c:pt>
              </c:numCache>
            </c:numRef>
          </c:val>
          <c:extLst>
            <c:ext xmlns:c16="http://schemas.microsoft.com/office/drawing/2014/chart" uri="{C3380CC4-5D6E-409C-BE32-E72D297353CC}">
              <c16:uniqueId val="{0000000A-EACC-48A5-BAFC-20DD9E76A48D}"/>
            </c:ext>
          </c:extLst>
        </c:ser>
        <c:ser>
          <c:idx val="1"/>
          <c:order val="1"/>
          <c:tx>
            <c:strRef>
              <c:f>'4. Analysis &amp; Insights'!$C$3</c:f>
              <c:strCache>
                <c:ptCount val="1"/>
                <c:pt idx="0">
                  <c:v>Average Trip Duration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EACC-48A5-BAFC-20DD9E76A4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EACC-48A5-BAFC-20DD9E76A4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EACC-48A5-BAFC-20DD9E76A4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EACC-48A5-BAFC-20DD9E76A4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EACC-48A5-BAFC-20DD9E76A48D}"/>
              </c:ext>
            </c:extLst>
          </c:dPt>
          <c:cat>
            <c:multiLvlStrRef>
              <c:f>'4. Analysis &amp; Insights'!$A$4:$A$15</c:f>
              <c:multiLvlStrCache>
                <c:ptCount val="5"/>
                <c:lvl>
                  <c:pt idx="0">
                    <c:v>January</c:v>
                  </c:pt>
                  <c:pt idx="1">
                    <c:v>January</c:v>
                  </c:pt>
                  <c:pt idx="2">
                    <c:v>January</c:v>
                  </c:pt>
                  <c:pt idx="3">
                    <c:v>February</c:v>
                  </c:pt>
                  <c:pt idx="4">
                    <c:v>January</c:v>
                  </c:pt>
                </c:lvl>
                <c:lvl>
                  <c:pt idx="0">
                    <c:v>Chi nhánh Cầu Giấy</c:v>
                  </c:pt>
                  <c:pt idx="1">
                    <c:v>Sân bay Nội Bài</c:v>
                  </c:pt>
                  <c:pt idx="2">
                    <c:v>Sân bay Tân Sơn Nhất</c:v>
                  </c:pt>
                  <c:pt idx="4">
                    <c:v>Trụ sở Quận 1</c:v>
                  </c:pt>
                </c:lvl>
                <c:lvl>
                  <c:pt idx="0">
                    <c:v>Ha Noi</c:v>
                  </c:pt>
                  <c:pt idx="2">
                    <c:v>Ho Chi Minh</c:v>
                  </c:pt>
                </c:lvl>
              </c:multiLvlStrCache>
            </c:multiLvlStrRef>
          </c:cat>
          <c:val>
            <c:numRef>
              <c:f>'4. Analysis &amp; Insights'!$C$4:$C$15</c:f>
              <c:numCache>
                <c:formatCode>General</c:formatCode>
                <c:ptCount val="5"/>
                <c:pt idx="0">
                  <c:v>4.5</c:v>
                </c:pt>
                <c:pt idx="1">
                  <c:v>6</c:v>
                </c:pt>
                <c:pt idx="2">
                  <c:v>3</c:v>
                </c:pt>
                <c:pt idx="3">
                  <c:v>5</c:v>
                </c:pt>
                <c:pt idx="4">
                  <c:v>3.5</c:v>
                </c:pt>
              </c:numCache>
            </c:numRef>
          </c:val>
          <c:extLst>
            <c:ext xmlns:c16="http://schemas.microsoft.com/office/drawing/2014/chart" uri="{C3380CC4-5D6E-409C-BE32-E72D297353CC}">
              <c16:uniqueId val="{00000015-EACC-48A5-BAFC-20DD9E76A48D}"/>
            </c:ext>
          </c:extLst>
        </c:ser>
        <c:ser>
          <c:idx val="2"/>
          <c:order val="2"/>
          <c:tx>
            <c:strRef>
              <c:f>'4. Analysis &amp; Insights'!$D$3</c:f>
              <c:strCache>
                <c:ptCount val="1"/>
                <c:pt idx="0">
                  <c:v>Total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7-EACC-48A5-BAFC-20DD9E76A4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9-EACC-48A5-BAFC-20DD9E76A4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B-EACC-48A5-BAFC-20DD9E76A4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D-EACC-48A5-BAFC-20DD9E76A4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F-EACC-48A5-BAFC-20DD9E76A48D}"/>
              </c:ext>
            </c:extLst>
          </c:dPt>
          <c:cat>
            <c:multiLvlStrRef>
              <c:f>'4. Analysis &amp; Insights'!$A$4:$A$15</c:f>
              <c:multiLvlStrCache>
                <c:ptCount val="5"/>
                <c:lvl>
                  <c:pt idx="0">
                    <c:v>January</c:v>
                  </c:pt>
                  <c:pt idx="1">
                    <c:v>January</c:v>
                  </c:pt>
                  <c:pt idx="2">
                    <c:v>January</c:v>
                  </c:pt>
                  <c:pt idx="3">
                    <c:v>February</c:v>
                  </c:pt>
                  <c:pt idx="4">
                    <c:v>January</c:v>
                  </c:pt>
                </c:lvl>
                <c:lvl>
                  <c:pt idx="0">
                    <c:v>Chi nhánh Cầu Giấy</c:v>
                  </c:pt>
                  <c:pt idx="1">
                    <c:v>Sân bay Nội Bài</c:v>
                  </c:pt>
                  <c:pt idx="2">
                    <c:v>Sân bay Tân Sơn Nhất</c:v>
                  </c:pt>
                  <c:pt idx="4">
                    <c:v>Trụ sở Quận 1</c:v>
                  </c:pt>
                </c:lvl>
                <c:lvl>
                  <c:pt idx="0">
                    <c:v>Ha Noi</c:v>
                  </c:pt>
                  <c:pt idx="2">
                    <c:v>Ho Chi Minh</c:v>
                  </c:pt>
                </c:lvl>
              </c:multiLvlStrCache>
            </c:multiLvlStrRef>
          </c:cat>
          <c:val>
            <c:numRef>
              <c:f>'4. Analysis &amp; Insights'!$D$4:$D$15</c:f>
              <c:numCache>
                <c:formatCode>#,##0\ "VND"</c:formatCode>
                <c:ptCount val="5"/>
                <c:pt idx="0">
                  <c:v>4000000</c:v>
                </c:pt>
                <c:pt idx="1">
                  <c:v>6500000</c:v>
                </c:pt>
                <c:pt idx="2">
                  <c:v>4500000</c:v>
                </c:pt>
                <c:pt idx="3">
                  <c:v>3200000</c:v>
                </c:pt>
                <c:pt idx="4">
                  <c:v>8600000</c:v>
                </c:pt>
              </c:numCache>
            </c:numRef>
          </c:val>
          <c:extLst>
            <c:ext xmlns:c16="http://schemas.microsoft.com/office/drawing/2014/chart" uri="{C3380CC4-5D6E-409C-BE32-E72D297353CC}">
              <c16:uniqueId val="{00000020-EACC-48A5-BAFC-20DD9E76A48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[Rento_App_Fleet_Audit_Analysis.xlsx]4. Analysis &amp; Insights!PivotTable1</c:name>
    <c:fmtId val="46"/>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Booking</a:t>
            </a:r>
            <a:r>
              <a:rPr lang="en-US" sz="1800" b="1" baseline="0"/>
              <a:t> Share by City</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072662179456078"/>
          <c:y val="0.13147955389700358"/>
          <c:w val="0.36209039844541951"/>
          <c:h val="0.83872878090245506"/>
        </c:manualLayout>
      </c:layout>
      <c:barChart>
        <c:barDir val="bar"/>
        <c:grouping val="clustered"/>
        <c:varyColors val="0"/>
        <c:ser>
          <c:idx val="0"/>
          <c:order val="0"/>
          <c:tx>
            <c:strRef>
              <c:f>'4. Analysis &amp; Insights'!$B$3</c:f>
              <c:strCache>
                <c:ptCount val="1"/>
                <c:pt idx="0">
                  <c:v>Number of Bookings</c:v>
                </c:pt>
              </c:strCache>
            </c:strRef>
          </c:tx>
          <c:spPr>
            <a:solidFill>
              <a:schemeClr val="accent1"/>
            </a:solidFill>
            <a:ln>
              <a:noFill/>
            </a:ln>
            <a:effectLst/>
          </c:spPr>
          <c:invertIfNegative val="0"/>
          <c:cat>
            <c:multiLvlStrRef>
              <c:f>'4. Analysis &amp; Insights'!$A$4:$A$15</c:f>
              <c:multiLvlStrCache>
                <c:ptCount val="5"/>
                <c:lvl>
                  <c:pt idx="0">
                    <c:v>January</c:v>
                  </c:pt>
                  <c:pt idx="1">
                    <c:v>January</c:v>
                  </c:pt>
                  <c:pt idx="2">
                    <c:v>January</c:v>
                  </c:pt>
                  <c:pt idx="3">
                    <c:v>February</c:v>
                  </c:pt>
                  <c:pt idx="4">
                    <c:v>January</c:v>
                  </c:pt>
                </c:lvl>
                <c:lvl>
                  <c:pt idx="0">
                    <c:v>Chi nhánh Cầu Giấy</c:v>
                  </c:pt>
                  <c:pt idx="1">
                    <c:v>Sân bay Nội Bài</c:v>
                  </c:pt>
                  <c:pt idx="2">
                    <c:v>Sân bay Tân Sơn Nhất</c:v>
                  </c:pt>
                  <c:pt idx="4">
                    <c:v>Trụ sở Quận 1</c:v>
                  </c:pt>
                </c:lvl>
                <c:lvl>
                  <c:pt idx="0">
                    <c:v>Ha Noi</c:v>
                  </c:pt>
                  <c:pt idx="2">
                    <c:v>Ho Chi Minh</c:v>
                  </c:pt>
                </c:lvl>
              </c:multiLvlStrCache>
            </c:multiLvlStrRef>
          </c:cat>
          <c:val>
            <c:numRef>
              <c:f>'4. Analysis &amp; Insights'!$B$4:$B$15</c:f>
              <c:numCache>
                <c:formatCode>General</c:formatCode>
                <c:ptCount val="5"/>
                <c:pt idx="0">
                  <c:v>2</c:v>
                </c:pt>
                <c:pt idx="1">
                  <c:v>1</c:v>
                </c:pt>
                <c:pt idx="2">
                  <c:v>2</c:v>
                </c:pt>
                <c:pt idx="3">
                  <c:v>1</c:v>
                </c:pt>
                <c:pt idx="4">
                  <c:v>2</c:v>
                </c:pt>
              </c:numCache>
            </c:numRef>
          </c:val>
          <c:extLst>
            <c:ext xmlns:c16="http://schemas.microsoft.com/office/drawing/2014/chart" uri="{C3380CC4-5D6E-409C-BE32-E72D297353CC}">
              <c16:uniqueId val="{00000000-A9AF-47FC-A5FE-ED1963296287}"/>
            </c:ext>
          </c:extLst>
        </c:ser>
        <c:ser>
          <c:idx val="1"/>
          <c:order val="1"/>
          <c:tx>
            <c:strRef>
              <c:f>'4. Analysis &amp; Insights'!$C$3</c:f>
              <c:strCache>
                <c:ptCount val="1"/>
                <c:pt idx="0">
                  <c:v>Average Trip Duration</c:v>
                </c:pt>
              </c:strCache>
            </c:strRef>
          </c:tx>
          <c:spPr>
            <a:solidFill>
              <a:schemeClr val="accent2"/>
            </a:solidFill>
            <a:ln>
              <a:noFill/>
            </a:ln>
            <a:effectLst/>
          </c:spPr>
          <c:invertIfNegative val="0"/>
          <c:cat>
            <c:multiLvlStrRef>
              <c:f>'4. Analysis &amp; Insights'!$A$4:$A$15</c:f>
              <c:multiLvlStrCache>
                <c:ptCount val="5"/>
                <c:lvl>
                  <c:pt idx="0">
                    <c:v>January</c:v>
                  </c:pt>
                  <c:pt idx="1">
                    <c:v>January</c:v>
                  </c:pt>
                  <c:pt idx="2">
                    <c:v>January</c:v>
                  </c:pt>
                  <c:pt idx="3">
                    <c:v>February</c:v>
                  </c:pt>
                  <c:pt idx="4">
                    <c:v>January</c:v>
                  </c:pt>
                </c:lvl>
                <c:lvl>
                  <c:pt idx="0">
                    <c:v>Chi nhánh Cầu Giấy</c:v>
                  </c:pt>
                  <c:pt idx="1">
                    <c:v>Sân bay Nội Bài</c:v>
                  </c:pt>
                  <c:pt idx="2">
                    <c:v>Sân bay Tân Sơn Nhất</c:v>
                  </c:pt>
                  <c:pt idx="4">
                    <c:v>Trụ sở Quận 1</c:v>
                  </c:pt>
                </c:lvl>
                <c:lvl>
                  <c:pt idx="0">
                    <c:v>Ha Noi</c:v>
                  </c:pt>
                  <c:pt idx="2">
                    <c:v>Ho Chi Minh</c:v>
                  </c:pt>
                </c:lvl>
              </c:multiLvlStrCache>
            </c:multiLvlStrRef>
          </c:cat>
          <c:val>
            <c:numRef>
              <c:f>'4. Analysis &amp; Insights'!$C$4:$C$15</c:f>
              <c:numCache>
                <c:formatCode>General</c:formatCode>
                <c:ptCount val="5"/>
                <c:pt idx="0">
                  <c:v>4.5</c:v>
                </c:pt>
                <c:pt idx="1">
                  <c:v>6</c:v>
                </c:pt>
                <c:pt idx="2">
                  <c:v>3</c:v>
                </c:pt>
                <c:pt idx="3">
                  <c:v>5</c:v>
                </c:pt>
                <c:pt idx="4">
                  <c:v>3.5</c:v>
                </c:pt>
              </c:numCache>
            </c:numRef>
          </c:val>
          <c:extLst>
            <c:ext xmlns:c16="http://schemas.microsoft.com/office/drawing/2014/chart" uri="{C3380CC4-5D6E-409C-BE32-E72D297353CC}">
              <c16:uniqueId val="{00000001-A9AF-47FC-A5FE-ED1963296287}"/>
            </c:ext>
          </c:extLst>
        </c:ser>
        <c:ser>
          <c:idx val="2"/>
          <c:order val="2"/>
          <c:tx>
            <c:strRef>
              <c:f>'4. Analysis &amp; Insights'!$D$3</c:f>
              <c:strCache>
                <c:ptCount val="1"/>
                <c:pt idx="0">
                  <c:v>Total Revenue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'4. Analysis &amp; Insights'!$A$4:$A$15</c:f>
              <c:multiLvlStrCache>
                <c:ptCount val="5"/>
                <c:lvl>
                  <c:pt idx="0">
                    <c:v>January</c:v>
                  </c:pt>
                  <c:pt idx="1">
                    <c:v>January</c:v>
                  </c:pt>
                  <c:pt idx="2">
                    <c:v>January</c:v>
                  </c:pt>
                  <c:pt idx="3">
                    <c:v>February</c:v>
                  </c:pt>
                  <c:pt idx="4">
                    <c:v>January</c:v>
                  </c:pt>
                </c:lvl>
                <c:lvl>
                  <c:pt idx="0">
                    <c:v>Chi nhánh Cầu Giấy</c:v>
                  </c:pt>
                  <c:pt idx="1">
                    <c:v>Sân bay Nội Bài</c:v>
                  </c:pt>
                  <c:pt idx="2">
                    <c:v>Sân bay Tân Sơn Nhất</c:v>
                  </c:pt>
                  <c:pt idx="4">
                    <c:v>Trụ sở Quận 1</c:v>
                  </c:pt>
                </c:lvl>
                <c:lvl>
                  <c:pt idx="0">
                    <c:v>Ha Noi</c:v>
                  </c:pt>
                  <c:pt idx="2">
                    <c:v>Ho Chi Minh</c:v>
                  </c:pt>
                </c:lvl>
              </c:multiLvlStrCache>
            </c:multiLvlStrRef>
          </c:cat>
          <c:val>
            <c:numRef>
              <c:f>'4. Analysis &amp; Insights'!$D$4:$D$15</c:f>
              <c:numCache>
                <c:formatCode>#,##0\ "VND"</c:formatCode>
                <c:ptCount val="5"/>
                <c:pt idx="0">
                  <c:v>4000000</c:v>
                </c:pt>
                <c:pt idx="1">
                  <c:v>6500000</c:v>
                </c:pt>
                <c:pt idx="2">
                  <c:v>4500000</c:v>
                </c:pt>
                <c:pt idx="3">
                  <c:v>3200000</c:v>
                </c:pt>
                <c:pt idx="4">
                  <c:v>8600000</c:v>
                </c:pt>
              </c:numCache>
            </c:numRef>
          </c:val>
          <c:extLst>
            <c:ext xmlns:c16="http://schemas.microsoft.com/office/drawing/2014/chart" uri="{C3380CC4-5D6E-409C-BE32-E72D297353CC}">
              <c16:uniqueId val="{00000002-A9AF-47FC-A5FE-ED1963296287}"/>
            </c:ext>
          </c:extLst>
        </c:ser>
        <c:dLbls>
          <c:showLegendKey val="0"/>
          <c:showVal val="0"/>
          <c:showCatName val="0"/>
          <c:showSerName val="0"/>
          <c:showPercent val="0"/>
          <c:showBubbleSize val="0"/>
        </c:dLbls>
        <c:gapWidth val="182"/>
        <c:axId val="5661088"/>
        <c:axId val="5661920"/>
      </c:barChart>
      <c:catAx>
        <c:axId val="56610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661920"/>
        <c:crosses val="autoZero"/>
        <c:auto val="1"/>
        <c:lblAlgn val="ctr"/>
        <c:lblOffset val="100"/>
        <c:noMultiLvlLbl val="0"/>
      </c:catAx>
      <c:valAx>
        <c:axId val="5661920"/>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66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[Rento_App_Fleet_Audit_Analysis.xlsx]4. Analysis &amp; Insights!PivotTable2</c:name>
    <c:fmtId val="2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i="0" u="none" strike="noStrike" baseline="0"/>
              <a:t>Revenue Share by Car Category</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'4. Analysis &amp; Insights'!$G$3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4D-4A84-AF9C-195B08C1CD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4D-4A84-AF9C-195B08C1CD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D4D-4A84-AF9C-195B08C1CDD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D4D-4A84-AF9C-195B08C1CDD2}"/>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'4. Analysis &amp; Insights'!$F$4:$F$8</c:f>
              <c:strCache>
                <c:ptCount val="4"/>
                <c:pt idx="0">
                  <c:v>SUV</c:v>
                </c:pt>
                <c:pt idx="1">
                  <c:v>Luxury</c:v>
                </c:pt>
                <c:pt idx="2">
                  <c:v>Sedan</c:v>
                </c:pt>
                <c:pt idx="3">
                  <c:v>Hatchback</c:v>
                </c:pt>
              </c:strCache>
            </c:strRef>
          </c:cat>
          <c:val>
            <c:numRef>
              <c:f>'4. Analysis &amp; Insights'!$G$4:$G$8</c:f>
              <c:numCache>
                <c:formatCode>General</c:formatCode>
                <c:ptCount val="4"/>
                <c:pt idx="0">
                  <c:v>13000000</c:v>
                </c:pt>
                <c:pt idx="1">
                  <c:v>5000000</c:v>
                </c:pt>
                <c:pt idx="2">
                  <c:v>4800000</c:v>
                </c:pt>
                <c:pt idx="3">
                  <c:v>4000000</c:v>
                </c:pt>
              </c:numCache>
            </c:numRef>
          </c:val>
          <c:extLst>
            <c:ext xmlns:c16="http://schemas.microsoft.com/office/drawing/2014/chart" uri="{C3380CC4-5D6E-409C-BE32-E72D297353CC}">
              <c16:uniqueId val="{00000008-6D4D-4A84-AF9C-195B08C1CDD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483773</xdr:colOff>
      <xdr:row>4</xdr:row>
      <xdr:rowOff>100403</xdr:rowOff>
    </xdr:from>
    <xdr:to>
      <xdr:col>12</xdr:col>
      <xdr:colOff>576942</xdr:colOff>
      <xdr:row>20</xdr:row>
      <xdr:rowOff>43542</xdr:rowOff>
    </xdr:to>
    <xdr:graphicFrame macro="">
      <xdr:nvGraphicFramePr>
        <xdr:cNvPr id="2" name="Chart 1">
          <a:extLst>
            <a:ext uri="{FF2B5EF4-FFF2-40B4-BE49-F238E27FC236}">
              <a16:creationId xmlns:a16="http://schemas.microsoft.com/office/drawing/2014/main" id="{B4838522-6561-46F1-B803-174A2B4B89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182677</xdr:colOff>
      <xdr:row>9</xdr:row>
      <xdr:rowOff>141723</xdr:rowOff>
    </xdr:from>
    <xdr:to>
      <xdr:col>3</xdr:col>
      <xdr:colOff>84706</xdr:colOff>
      <xdr:row>19</xdr:row>
      <xdr:rowOff>112205</xdr:rowOff>
    </xdr:to>
    <mc:AlternateContent xmlns:mc="http://schemas.openxmlformats.org/markup-compatibility/2006" xmlns:a14="http://schemas.microsoft.com/office/drawing/2010/main">
      <mc:Choice Requires="a14">
        <xdr:graphicFrame macro="">
          <xdr:nvGraphicFramePr>
            <xdr:cNvPr id="3" name="Tên xe">
              <a:extLst>
                <a:ext uri="{FF2B5EF4-FFF2-40B4-BE49-F238E27FC236}">
                  <a16:creationId xmlns:a16="http://schemas.microsoft.com/office/drawing/2014/main" id="{2D69950B-320D-4A00-9B9A-95107CB4056B}"/>
                </a:ext>
              </a:extLst>
            </xdr:cNvPr>
            <xdr:cNvGraphicFramePr/>
          </xdr:nvGraphicFramePr>
          <xdr:xfrm>
            <a:off x="0" y="0"/>
            <a:ext cx="0" cy="0"/>
          </xdr:xfrm>
          <a:graphic>
            <a:graphicData uri="http://schemas.microsoft.com/office/drawing/2010/slicer">
              <sle:slicer xmlns:sle="http://schemas.microsoft.com/office/drawing/2010/slicer" name="Tên xe"/>
            </a:graphicData>
          </a:graphic>
        </xdr:graphicFrame>
      </mc:Choice>
      <mc:Fallback xmlns="">
        <xdr:sp macro="" textlink="">
          <xdr:nvSpPr>
            <xdr:cNvPr id="0" name=""/>
            <xdr:cNvSpPr>
              <a:spLocks noTextEdit="1"/>
            </xdr:cNvSpPr>
          </xdr:nvSpPr>
          <xdr:spPr>
            <a:xfrm>
              <a:off x="182677" y="2386159"/>
              <a:ext cx="1827811" cy="17715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191588</xdr:colOff>
      <xdr:row>4</xdr:row>
      <xdr:rowOff>112124</xdr:rowOff>
    </xdr:from>
    <xdr:to>
      <xdr:col>3</xdr:col>
      <xdr:colOff>92528</xdr:colOff>
      <xdr:row>9</xdr:row>
      <xdr:rowOff>119742</xdr:rowOff>
    </xdr:to>
    <mc:AlternateContent xmlns:mc="http://schemas.openxmlformats.org/markup-compatibility/2006" xmlns:a14="http://schemas.microsoft.com/office/drawing/2010/main">
      <mc:Choice Requires="a14">
        <xdr:graphicFrame macro="">
          <xdr:nvGraphicFramePr>
            <xdr:cNvPr id="4" name="Thành phố">
              <a:extLst>
                <a:ext uri="{FF2B5EF4-FFF2-40B4-BE49-F238E27FC236}">
                  <a16:creationId xmlns:a16="http://schemas.microsoft.com/office/drawing/2014/main" id="{CE69741C-2FED-4D6E-8166-A8F942A885BB}"/>
                </a:ext>
              </a:extLst>
            </xdr:cNvPr>
            <xdr:cNvGraphicFramePr/>
          </xdr:nvGraphicFramePr>
          <xdr:xfrm>
            <a:off x="0" y="0"/>
            <a:ext cx="0" cy="0"/>
          </xdr:xfrm>
          <a:graphic>
            <a:graphicData uri="http://schemas.microsoft.com/office/drawing/2010/slicer">
              <sle:slicer xmlns:sle="http://schemas.microsoft.com/office/drawing/2010/slicer" name="Thành phố"/>
            </a:graphicData>
          </a:graphic>
        </xdr:graphicFrame>
      </mc:Choice>
      <mc:Fallback xmlns="">
        <xdr:sp macro="" textlink="">
          <xdr:nvSpPr>
            <xdr:cNvPr id="0" name=""/>
            <xdr:cNvSpPr>
              <a:spLocks noTextEdit="1"/>
            </xdr:cNvSpPr>
          </xdr:nvSpPr>
          <xdr:spPr>
            <a:xfrm>
              <a:off x="191588" y="1123506"/>
              <a:ext cx="1826722" cy="12406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203312</xdr:colOff>
      <xdr:row>19</xdr:row>
      <xdr:rowOff>128285</xdr:rowOff>
    </xdr:from>
    <xdr:to>
      <xdr:col>3</xdr:col>
      <xdr:colOff>104252</xdr:colOff>
      <xdr:row>26</xdr:row>
      <xdr:rowOff>123930</xdr:rowOff>
    </xdr:to>
    <mc:AlternateContent xmlns:mc="http://schemas.openxmlformats.org/markup-compatibility/2006" xmlns:a14="http://schemas.microsoft.com/office/drawing/2010/main">
      <mc:Choice Requires="a14">
        <xdr:graphicFrame macro="">
          <xdr:nvGraphicFramePr>
            <xdr:cNvPr id="6" name="Month_Name">
              <a:extLst>
                <a:ext uri="{FF2B5EF4-FFF2-40B4-BE49-F238E27FC236}">
                  <a16:creationId xmlns:a16="http://schemas.microsoft.com/office/drawing/2014/main" id="{E25EAE59-E91F-4FDE-92D4-196C983CAB2F}"/>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203312" y="4173812"/>
              <a:ext cx="1826722" cy="12564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464688</xdr:colOff>
      <xdr:row>21</xdr:row>
      <xdr:rowOff>43544</xdr:rowOff>
    </xdr:from>
    <xdr:to>
      <xdr:col>12</xdr:col>
      <xdr:colOff>554336</xdr:colOff>
      <xdr:row>40</xdr:row>
      <xdr:rowOff>97972</xdr:rowOff>
    </xdr:to>
    <xdr:graphicFrame macro="">
      <xdr:nvGraphicFramePr>
        <xdr:cNvPr id="7" name="Chart 6">
          <a:extLst>
            <a:ext uri="{FF2B5EF4-FFF2-40B4-BE49-F238E27FC236}">
              <a16:creationId xmlns:a16="http://schemas.microsoft.com/office/drawing/2014/main" id="{A0AF9F97-AF0A-4D9D-BD64-8BD24F3D13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202145</xdr:colOff>
      <xdr:row>4</xdr:row>
      <xdr:rowOff>97970</xdr:rowOff>
    </xdr:from>
    <xdr:to>
      <xdr:col>23</xdr:col>
      <xdr:colOff>82061</xdr:colOff>
      <xdr:row>23</xdr:row>
      <xdr:rowOff>117231</xdr:rowOff>
    </xdr:to>
    <xdr:graphicFrame macro="">
      <xdr:nvGraphicFramePr>
        <xdr:cNvPr id="8" name="Chart 7">
          <a:extLst>
            <a:ext uri="{FF2B5EF4-FFF2-40B4-BE49-F238E27FC236}">
              <a16:creationId xmlns:a16="http://schemas.microsoft.com/office/drawing/2014/main" id="{4F5EDC76-C30B-4D1C-8D49-2BF3A86E2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312259</xdr:colOff>
      <xdr:row>4</xdr:row>
      <xdr:rowOff>96982</xdr:rowOff>
    </xdr:from>
    <xdr:to>
      <xdr:col>37</xdr:col>
      <xdr:colOff>27707</xdr:colOff>
      <xdr:row>34</xdr:row>
      <xdr:rowOff>110837</xdr:rowOff>
    </xdr:to>
    <xdr:graphicFrame macro="">
      <xdr:nvGraphicFramePr>
        <xdr:cNvPr id="10" name="Chart 9">
          <a:extLst>
            <a:ext uri="{FF2B5EF4-FFF2-40B4-BE49-F238E27FC236}">
              <a16:creationId xmlns:a16="http://schemas.microsoft.com/office/drawing/2014/main" id="{2BC45839-7D1A-46F8-B781-10C6A4DFA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553190</xdr:colOff>
      <xdr:row>0</xdr:row>
      <xdr:rowOff>177139</xdr:rowOff>
    </xdr:from>
    <xdr:to>
      <xdr:col>24</xdr:col>
      <xdr:colOff>116772</xdr:colOff>
      <xdr:row>3</xdr:row>
      <xdr:rowOff>40573</xdr:rowOff>
    </xdr:to>
    <xdr:sp macro="" textlink="">
      <xdr:nvSpPr>
        <xdr:cNvPr id="13" name="Rectangle: Rounded Corners 12">
          <a:extLst>
            <a:ext uri="{FF2B5EF4-FFF2-40B4-BE49-F238E27FC236}">
              <a16:creationId xmlns:a16="http://schemas.microsoft.com/office/drawing/2014/main" id="{2A134FA8-45C9-4F8F-935A-F1168018B4DC}"/>
            </a:ext>
          </a:extLst>
        </xdr:cNvPr>
        <xdr:cNvSpPr/>
      </xdr:nvSpPr>
      <xdr:spPr>
        <a:xfrm>
          <a:off x="7355772" y="177139"/>
          <a:ext cx="7488382" cy="58387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t>RENTO APP - FLEET OPERATIONS DASHBOARD</a:t>
          </a:r>
        </a:p>
      </xdr:txBody>
    </xdr:sp>
    <xdr:clientData/>
  </xdr:twoCellAnchor>
  <xdr:twoCellAnchor>
    <xdr:from>
      <xdr:col>13</xdr:col>
      <xdr:colOff>211014</xdr:colOff>
      <xdr:row>24</xdr:row>
      <xdr:rowOff>128953</xdr:rowOff>
    </xdr:from>
    <xdr:to>
      <xdr:col>23</xdr:col>
      <xdr:colOff>93783</xdr:colOff>
      <xdr:row>50</xdr:row>
      <xdr:rowOff>11724</xdr:rowOff>
    </xdr:to>
    <xdr:graphicFrame macro="">
      <xdr:nvGraphicFramePr>
        <xdr:cNvPr id="14" name="Chart 13">
          <a:extLst>
            <a:ext uri="{FF2B5EF4-FFF2-40B4-BE49-F238E27FC236}">
              <a16:creationId xmlns:a16="http://schemas.microsoft.com/office/drawing/2014/main" id="{33C0717E-000E-4C79-A712-7FF4BF9B67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ương Ngô" refreshedDate="46042.637637500004" createdVersion="7" refreshedVersion="7" minRefreshableVersion="3" recordCount="8" xr:uid="{1D8149A9-AD01-4F4C-9205-17C09FEA11E4}">
  <cacheSource type="worksheet">
    <worksheetSource name="MasterTable"/>
  </cacheSource>
  <cacheFields count="26">
    <cacheField name="Rental_ID" numFmtId="0">
      <sharedItems/>
    </cacheField>
    <cacheField name="User_ID" numFmtId="0">
      <sharedItems/>
    </cacheField>
    <cacheField name="Car_ID" numFmtId="0">
      <sharedItems/>
    </cacheField>
    <cacheField name="Pickup_Location" numFmtId="0">
      <sharedItems/>
    </cacheField>
    <cacheField name="Return_Location" numFmtId="0">
      <sharedItems/>
    </cacheField>
    <cacheField name="Start_Date" numFmtId="14">
      <sharedItems containsSemiMixedTypes="0" containsNonDate="0" containsDate="1" containsString="0" minDate="2025-01-02T00:00:00" maxDate="2025-02-02T00:00:00"/>
    </cacheField>
    <cacheField name="End_Date" numFmtId="14">
      <sharedItems containsSemiMixedTypes="0" containsNonDate="0" containsDate="1" containsString="0" minDate="2025-01-04T00:00:00" maxDate="2025-02-06T00:00:00"/>
    </cacheField>
    <cacheField name="Total_Amount" numFmtId="0">
      <sharedItems containsSemiMixedTypes="0" containsString="0" containsNumber="1" containsInteger="1" minValue="1000000" maxValue="6500000"/>
    </cacheField>
    <cacheField name="Payment_Method" numFmtId="0">
      <sharedItems/>
    </cacheField>
    <cacheField name="Status" numFmtId="0">
      <sharedItems/>
    </cacheField>
    <cacheField name="Duration_Days" numFmtId="0">
      <sharedItems containsSemiMixedTypes="0" containsString="0" containsNumber="1" containsInteger="1" minValue="2" maxValue="5"/>
    </cacheField>
    <cacheField name="Unit_Price" numFmtId="0">
      <sharedItems containsSemiMixedTypes="0" containsString="0" containsNumber="1" containsInteger="1" minValue="500000" maxValue="2500000"/>
    </cacheField>
    <cacheField name="Expected_Revenue" numFmtId="0">
      <sharedItems containsSemiMixedTypes="0" containsString="0" containsNumber="1" containsInteger="1" minValue="1000000" maxValue="6500000" count="8">
        <n v="3000000"/>
        <n v="6500000"/>
        <n v="1000000"/>
        <n v="2900000"/>
        <n v="5000000"/>
        <n v="1600000"/>
        <n v="3600000"/>
        <n v="3200000"/>
      </sharedItems>
    </cacheField>
    <cacheField name="Discount_Amount" numFmtId="0">
      <sharedItems containsSemiMixedTypes="0" containsString="0" containsNumber="1" containsInteger="1" minValue="0" maxValue="0"/>
    </cacheField>
    <cacheField name="Booking_Date" numFmtId="14">
      <sharedItems containsSemiMixedTypes="0" containsNonDate="0" containsDate="1" containsString="0" minDate="2024-12-28T00:00:00" maxDate="2025-01-20T00:00:00"/>
    </cacheField>
    <cacheField name="Make_Model" numFmtId="0">
      <sharedItems/>
    </cacheField>
    <cacheField name="Category" numFmtId="0">
      <sharedItems count="4">
        <s v="Hatchback"/>
        <s v="SUV"/>
        <s v="Luxury"/>
        <s v="Sedan"/>
      </sharedItems>
    </cacheField>
    <cacheField name="Hub_Name" numFmtId="0">
      <sharedItems count="4">
        <s v="Chi nhánh Cầu Giấy"/>
        <s v="Sân bay Nội Bài"/>
        <s v="Sân bay Tân Sơn Nhất"/>
        <s v="Trụ sở Quận 1"/>
      </sharedItems>
    </cacheField>
    <cacheField name="City" numFmtId="0">
      <sharedItems count="2">
        <s v="Ha Noi"/>
        <s v="Ho Chi Minh"/>
      </sharedItems>
    </cacheField>
    <cacheField name="Hub_Type" numFmtId="0">
      <sharedItems/>
    </cacheField>
    <cacheField name="Rental_Days" numFmtId="0">
      <sharedItems containsSemiMixedTypes="0" containsString="0" containsNumber="1" containsInteger="1" minValue="3" maxValue="6"/>
    </cacheField>
    <cacheField name="Lead_Time" numFmtId="0">
      <sharedItems containsSemiMixedTypes="0" containsString="0" containsNumber="1" containsInteger="1" minValue="1" maxValue="35"/>
    </cacheField>
    <cacheField name="Day_Name" numFmtId="0">
      <sharedItems/>
    </cacheField>
    <cacheField name="Booking_Weekend" numFmtId="0">
      <sharedItems/>
    </cacheField>
    <cacheField name="Month" numFmtId="0">
      <sharedItems containsSemiMixedTypes="0" containsString="0" containsNumber="1" containsInteger="1" minValue="1" maxValue="2"/>
    </cacheField>
    <cacheField name="Month_Name" numFmtId="0">
      <sharedItems count="2">
        <s v="January"/>
        <s v="February"/>
      </sharedItems>
    </cacheField>
  </cacheFields>
  <extLst>
    <ext xmlns:x14="http://schemas.microsoft.com/office/spreadsheetml/2009/9/main" uri="{725AE2AE-9491-48be-B2B4-4EB974FC3084}">
      <x14:pivotCacheDefinition pivotCacheId="9535796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s v="R-1003"/>
    <s v="U-009"/>
    <s v="C-06"/>
    <s v="L-003"/>
    <s v="L-003"/>
    <d v="2025-01-05T00:00:00"/>
    <d v="2025-01-10T00:00:00"/>
    <n v="3000000"/>
    <s v="Cash"/>
    <s v="Completed"/>
    <n v="5"/>
    <n v="600000"/>
    <x v="0"/>
    <n v="0"/>
    <d v="2025-01-01T00:00:00"/>
    <s v="VinFast Fadil"/>
    <x v="0"/>
    <x v="0"/>
    <x v="0"/>
    <s v="Branch"/>
    <n v="6"/>
    <n v="4"/>
    <s v="Sunday"/>
    <s v="Weekend"/>
    <n v="1"/>
    <x v="0"/>
  </r>
  <r>
    <s v="R-1004"/>
    <s v="U-002"/>
    <s v="C-08"/>
    <s v="L-004"/>
    <s v="L-001"/>
    <d v="2025-01-10T00:00:00"/>
    <d v="2025-01-15T00:00:00"/>
    <n v="6500000"/>
    <s v="Stripe"/>
    <s v="Completed"/>
    <n v="5"/>
    <n v="1300000"/>
    <x v="1"/>
    <n v="0"/>
    <d v="2025-01-05T00:00:00"/>
    <s v="Toyota Fortuner"/>
    <x v="1"/>
    <x v="1"/>
    <x v="0"/>
    <s v="Airport Kiosk"/>
    <n v="6"/>
    <n v="5"/>
    <s v="Friday"/>
    <s v="Weekday"/>
    <n v="1"/>
    <x v="0"/>
  </r>
  <r>
    <s v="R-1008"/>
    <s v="U-003"/>
    <s v="C-09"/>
    <s v="L-003"/>
    <s v="L-004"/>
    <d v="2025-01-20T00:00:00"/>
    <d v="2025-01-22T00:00:00"/>
    <n v="1000000"/>
    <s v="Cash"/>
    <s v="Overdue"/>
    <n v="2"/>
    <n v="500000"/>
    <x v="2"/>
    <n v="0"/>
    <d v="2025-01-19T00:00:00"/>
    <s v="Kia Morning"/>
    <x v="0"/>
    <x v="0"/>
    <x v="0"/>
    <s v="Branch"/>
    <n v="3"/>
    <n v="1"/>
    <s v="Monday"/>
    <s v="Weekday"/>
    <n v="1"/>
    <x v="0"/>
  </r>
  <r>
    <s v="R-1005"/>
    <s v="U-012"/>
    <s v="C-14"/>
    <s v="L-001"/>
    <s v="L-001"/>
    <d v="2025-01-12T00:00:00"/>
    <d v="2025-01-14T00:00:00"/>
    <n v="2900000"/>
    <s v="Credit Card"/>
    <s v="Completed"/>
    <n v="2"/>
    <n v="1450000"/>
    <x v="3"/>
    <n v="0"/>
    <d v="2025-01-10T00:00:00"/>
    <s v="Ford Everest"/>
    <x v="1"/>
    <x v="2"/>
    <x v="1"/>
    <s v="Airport Kiosk"/>
    <n v="3"/>
    <n v="2"/>
    <s v="Sunday"/>
    <s v="Weekend"/>
    <n v="1"/>
    <x v="0"/>
  </r>
  <r>
    <s v="R-1007"/>
    <s v="U-022"/>
    <s v="C-05"/>
    <s v="L-002"/>
    <s v="L-002"/>
    <d v="2025-01-18T00:00:00"/>
    <d v="2025-01-20T00:00:00"/>
    <n v="5000000"/>
    <s v="PayPal"/>
    <s v="Active"/>
    <n v="2"/>
    <n v="2500000"/>
    <x v="4"/>
    <n v="0"/>
    <d v="2025-01-17T00:00:00"/>
    <s v="Mercedes C300"/>
    <x v="2"/>
    <x v="3"/>
    <x v="1"/>
    <s v="Headquarters"/>
    <n v="3"/>
    <n v="1"/>
    <s v="Saturday"/>
    <s v="Weekend"/>
    <n v="1"/>
    <x v="0"/>
  </r>
  <r>
    <s v="R-1002"/>
    <s v="U-005"/>
    <s v="C-02"/>
    <s v="L-001"/>
    <s v="L-002"/>
    <d v="2025-01-02T00:00:00"/>
    <d v="2025-01-04T00:00:00"/>
    <n v="1600000"/>
    <s v="PayPal"/>
    <s v="Completed"/>
    <n v="2"/>
    <n v="800000"/>
    <x v="5"/>
    <n v="0"/>
    <d v="2024-12-30T00:00:00"/>
    <s v="Toyota Vios"/>
    <x v="3"/>
    <x v="2"/>
    <x v="1"/>
    <s v="Airport Kiosk"/>
    <n v="3"/>
    <n v="3"/>
    <s v="Thursday"/>
    <s v="Weekday"/>
    <n v="1"/>
    <x v="0"/>
  </r>
  <r>
    <s v="R-1006"/>
    <s v="U-015"/>
    <s v="C-04"/>
    <s v="L-002"/>
    <s v="L-002"/>
    <d v="2025-01-15T00:00:00"/>
    <d v="2025-01-18T00:00:00"/>
    <n v="3600000"/>
    <s v="Bank Transfer"/>
    <s v="Cancelled"/>
    <n v="3"/>
    <n v="1200000"/>
    <x v="6"/>
    <n v="0"/>
    <d v="2025-01-12T00:00:00"/>
    <s v="Mazda CX-5"/>
    <x v="1"/>
    <x v="3"/>
    <x v="1"/>
    <s v="Headquarters"/>
    <n v="4"/>
    <n v="3"/>
    <s v="Wednesday"/>
    <s v="Weekday"/>
    <n v="1"/>
    <x v="0"/>
  </r>
  <r>
    <s v="R-1001"/>
    <s v="U-001"/>
    <s v="C-01"/>
    <s v="L-001"/>
    <s v="L-001"/>
    <d v="2025-02-01T00:00:00"/>
    <d v="2025-02-05T00:00:00"/>
    <n v="3200000"/>
    <s v="Credit Card"/>
    <s v="Completed"/>
    <n v="4"/>
    <n v="800000"/>
    <x v="7"/>
    <n v="0"/>
    <d v="2024-12-28T00:00:00"/>
    <s v="Toyota Vios"/>
    <x v="3"/>
    <x v="2"/>
    <x v="1"/>
    <s v="Airport Kiosk"/>
    <n v="5"/>
    <n v="35"/>
    <s v="Saturday"/>
    <s v="Weekend"/>
    <n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D8DB3F-85B8-4CA1-B959-0DD8BBE0753B}" name="PivotTable1" cacheId="3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7">
  <location ref="A3:D15" firstHeaderRow="0" firstDataRow="1" firstDataCol="1"/>
  <pivotFields count="26">
    <pivotField dataField="1" showAll="0"/>
    <pivotField showAll="0"/>
    <pivotField showAll="0"/>
    <pivotField showAll="0"/>
    <pivotField showAll="0"/>
    <pivotField numFmtId="14" showAll="0"/>
    <pivotField numFmtId="14" showAll="0"/>
    <pivotField dataField="1" showAll="0"/>
    <pivotField showAll="0"/>
    <pivotField showAll="0"/>
    <pivotField showAll="0"/>
    <pivotField showAll="0"/>
    <pivotField showAll="0"/>
    <pivotField showAll="0"/>
    <pivotField numFmtId="14" showAll="0"/>
    <pivotField showAll="0"/>
    <pivotField showAll="0"/>
    <pivotField axis="axisRow" showAll="0">
      <items count="5">
        <item x="0"/>
        <item x="1"/>
        <item x="2"/>
        <item x="3"/>
        <item t="default"/>
      </items>
    </pivotField>
    <pivotField axis="axisRow" showAll="0">
      <items count="3">
        <item x="0"/>
        <item x="1"/>
        <item t="default"/>
      </items>
    </pivotField>
    <pivotField showAll="0"/>
    <pivotField dataField="1" showAll="0"/>
    <pivotField showAll="0"/>
    <pivotField showAll="0"/>
    <pivotField showAll="0"/>
    <pivotField showAll="0"/>
    <pivotField axis="axisRow" showAll="0">
      <items count="3">
        <item x="0"/>
        <item x="1"/>
        <item t="default"/>
      </items>
    </pivotField>
  </pivotFields>
  <rowFields count="3">
    <field x="18"/>
    <field x="17"/>
    <field x="25"/>
  </rowFields>
  <rowItems count="12">
    <i>
      <x/>
    </i>
    <i r="1">
      <x/>
    </i>
    <i r="2">
      <x/>
    </i>
    <i r="1">
      <x v="1"/>
    </i>
    <i r="2">
      <x/>
    </i>
    <i>
      <x v="1"/>
    </i>
    <i r="1">
      <x v="2"/>
    </i>
    <i r="2">
      <x/>
    </i>
    <i r="2">
      <x v="1"/>
    </i>
    <i r="1">
      <x v="3"/>
    </i>
    <i r="2">
      <x/>
    </i>
    <i t="grand">
      <x/>
    </i>
  </rowItems>
  <colFields count="1">
    <field x="-2"/>
  </colFields>
  <colItems count="3">
    <i>
      <x/>
    </i>
    <i i="1">
      <x v="1"/>
    </i>
    <i i="2">
      <x v="2"/>
    </i>
  </colItems>
  <dataFields count="3">
    <dataField name="Number of Bookings" fld="0" subtotal="count" baseField="18" baseItem="0"/>
    <dataField name="Average Trip Duration" fld="20" subtotal="average" baseField="18" baseItem="0"/>
    <dataField name="Total Revenue" fld="7" baseField="18" baseItem="0" numFmtId="164"/>
  </dataFields>
  <formats count="8">
    <format dxfId="114">
      <pivotArea field="18" type="button" dataOnly="0" labelOnly="1" outline="0" axis="axisRow" fieldPosition="0"/>
    </format>
    <format dxfId="113">
      <pivotArea dataOnly="0" labelOnly="1" outline="0" fieldPosition="0">
        <references count="1">
          <reference field="4294967294" count="3">
            <x v="0"/>
            <x v="1"/>
            <x v="2"/>
          </reference>
        </references>
      </pivotArea>
    </format>
    <format dxfId="112">
      <pivotArea field="18" type="button" dataOnly="0" labelOnly="1" outline="0" axis="axisRow" fieldPosition="0"/>
    </format>
    <format dxfId="111">
      <pivotArea dataOnly="0" labelOnly="1" outline="0" fieldPosition="0">
        <references count="1">
          <reference field="4294967294" count="3">
            <x v="0"/>
            <x v="1"/>
            <x v="2"/>
          </reference>
        </references>
      </pivotArea>
    </format>
    <format dxfId="110">
      <pivotArea grandRow="1" outline="0" collapsedLevelsAreSubtotals="1" fieldPosition="0"/>
    </format>
    <format dxfId="109">
      <pivotArea dataOnly="0" labelOnly="1" grandRow="1" outline="0" fieldPosition="0"/>
    </format>
    <format dxfId="108">
      <pivotArea grandRow="1" outline="0" collapsedLevelsAreSubtotals="1" fieldPosition="0"/>
    </format>
    <format dxfId="107">
      <pivotArea dataOnly="0" labelOnly="1" grandRow="1" outline="0" fieldPosition="0"/>
    </format>
  </formats>
  <chartFormats count="21">
    <chartFormat chart="9" format="21" series="1">
      <pivotArea type="data" outline="0" fieldPosition="0">
        <references count="1">
          <reference field="4294967294" count="1" selected="0">
            <x v="0"/>
          </reference>
        </references>
      </pivotArea>
    </chartFormat>
    <chartFormat chart="9" format="22">
      <pivotArea type="data" outline="0" fieldPosition="0">
        <references count="4">
          <reference field="4294967294" count="1" selected="0">
            <x v="0"/>
          </reference>
          <reference field="17" count="1" selected="0">
            <x v="0"/>
          </reference>
          <reference field="18" count="1" selected="0">
            <x v="0"/>
          </reference>
          <reference field="25" count="1" selected="0">
            <x v="0"/>
          </reference>
        </references>
      </pivotArea>
    </chartFormat>
    <chartFormat chart="9" format="23">
      <pivotArea type="data" outline="0" fieldPosition="0">
        <references count="4">
          <reference field="4294967294" count="1" selected="0">
            <x v="0"/>
          </reference>
          <reference field="17" count="1" selected="0">
            <x v="1"/>
          </reference>
          <reference field="18" count="1" selected="0">
            <x v="0"/>
          </reference>
          <reference field="25" count="1" selected="0">
            <x v="0"/>
          </reference>
        </references>
      </pivotArea>
    </chartFormat>
    <chartFormat chart="9" format="24">
      <pivotArea type="data" outline="0" fieldPosition="0">
        <references count="4">
          <reference field="4294967294" count="1" selected="0">
            <x v="0"/>
          </reference>
          <reference field="17" count="1" selected="0">
            <x v="2"/>
          </reference>
          <reference field="18" count="1" selected="0">
            <x v="1"/>
          </reference>
          <reference field="25" count="1" selected="0">
            <x v="0"/>
          </reference>
        </references>
      </pivotArea>
    </chartFormat>
    <chartFormat chart="9" format="25">
      <pivotArea type="data" outline="0" fieldPosition="0">
        <references count="4">
          <reference field="4294967294" count="1" selected="0">
            <x v="0"/>
          </reference>
          <reference field="17" count="1" selected="0">
            <x v="2"/>
          </reference>
          <reference field="18" count="1" selected="0">
            <x v="1"/>
          </reference>
          <reference field="25" count="1" selected="0">
            <x v="1"/>
          </reference>
        </references>
      </pivotArea>
    </chartFormat>
    <chartFormat chart="9" format="26">
      <pivotArea type="data" outline="0" fieldPosition="0">
        <references count="4">
          <reference field="4294967294" count="1" selected="0">
            <x v="0"/>
          </reference>
          <reference field="17" count="1" selected="0">
            <x v="3"/>
          </reference>
          <reference field="18" count="1" selected="0">
            <x v="1"/>
          </reference>
          <reference field="25" count="1" selected="0">
            <x v="0"/>
          </reference>
        </references>
      </pivotArea>
    </chartFormat>
    <chartFormat chart="9" format="27" series="1">
      <pivotArea type="data" outline="0" fieldPosition="0">
        <references count="1">
          <reference field="4294967294" count="1" selected="0">
            <x v="1"/>
          </reference>
        </references>
      </pivotArea>
    </chartFormat>
    <chartFormat chart="9" format="28">
      <pivotArea type="data" outline="0" fieldPosition="0">
        <references count="4">
          <reference field="4294967294" count="1" selected="0">
            <x v="1"/>
          </reference>
          <reference field="17" count="1" selected="0">
            <x v="0"/>
          </reference>
          <reference field="18" count="1" selected="0">
            <x v="0"/>
          </reference>
          <reference field="25" count="1" selected="0">
            <x v="0"/>
          </reference>
        </references>
      </pivotArea>
    </chartFormat>
    <chartFormat chart="9" format="29">
      <pivotArea type="data" outline="0" fieldPosition="0">
        <references count="4">
          <reference field="4294967294" count="1" selected="0">
            <x v="1"/>
          </reference>
          <reference field="17" count="1" selected="0">
            <x v="1"/>
          </reference>
          <reference field="18" count="1" selected="0">
            <x v="0"/>
          </reference>
          <reference field="25" count="1" selected="0">
            <x v="0"/>
          </reference>
        </references>
      </pivotArea>
    </chartFormat>
    <chartFormat chart="9" format="30">
      <pivotArea type="data" outline="0" fieldPosition="0">
        <references count="4">
          <reference field="4294967294" count="1" selected="0">
            <x v="1"/>
          </reference>
          <reference field="17" count="1" selected="0">
            <x v="2"/>
          </reference>
          <reference field="18" count="1" selected="0">
            <x v="1"/>
          </reference>
          <reference field="25" count="1" selected="0">
            <x v="0"/>
          </reference>
        </references>
      </pivotArea>
    </chartFormat>
    <chartFormat chart="9" format="31">
      <pivotArea type="data" outline="0" fieldPosition="0">
        <references count="4">
          <reference field="4294967294" count="1" selected="0">
            <x v="1"/>
          </reference>
          <reference field="17" count="1" selected="0">
            <x v="2"/>
          </reference>
          <reference field="18" count="1" selected="0">
            <x v="1"/>
          </reference>
          <reference field="25" count="1" selected="0">
            <x v="1"/>
          </reference>
        </references>
      </pivotArea>
    </chartFormat>
    <chartFormat chart="9" format="32">
      <pivotArea type="data" outline="0" fieldPosition="0">
        <references count="4">
          <reference field="4294967294" count="1" selected="0">
            <x v="1"/>
          </reference>
          <reference field="17" count="1" selected="0">
            <x v="3"/>
          </reference>
          <reference field="18" count="1" selected="0">
            <x v="1"/>
          </reference>
          <reference field="25" count="1" selected="0">
            <x v="0"/>
          </reference>
        </references>
      </pivotArea>
    </chartFormat>
    <chartFormat chart="9" format="33" series="1">
      <pivotArea type="data" outline="0" fieldPosition="0">
        <references count="1">
          <reference field="4294967294" count="1" selected="0">
            <x v="2"/>
          </reference>
        </references>
      </pivotArea>
    </chartFormat>
    <chartFormat chart="9" format="34">
      <pivotArea type="data" outline="0" fieldPosition="0">
        <references count="4">
          <reference field="4294967294" count="1" selected="0">
            <x v="2"/>
          </reference>
          <reference field="17" count="1" selected="0">
            <x v="0"/>
          </reference>
          <reference field="18" count="1" selected="0">
            <x v="0"/>
          </reference>
          <reference field="25" count="1" selected="0">
            <x v="0"/>
          </reference>
        </references>
      </pivotArea>
    </chartFormat>
    <chartFormat chart="9" format="35">
      <pivotArea type="data" outline="0" fieldPosition="0">
        <references count="4">
          <reference field="4294967294" count="1" selected="0">
            <x v="2"/>
          </reference>
          <reference field="17" count="1" selected="0">
            <x v="1"/>
          </reference>
          <reference field="18" count="1" selected="0">
            <x v="0"/>
          </reference>
          <reference field="25" count="1" selected="0">
            <x v="0"/>
          </reference>
        </references>
      </pivotArea>
    </chartFormat>
    <chartFormat chart="9" format="36">
      <pivotArea type="data" outline="0" fieldPosition="0">
        <references count="4">
          <reference field="4294967294" count="1" selected="0">
            <x v="2"/>
          </reference>
          <reference field="17" count="1" selected="0">
            <x v="2"/>
          </reference>
          <reference field="18" count="1" selected="0">
            <x v="1"/>
          </reference>
          <reference field="25" count="1" selected="0">
            <x v="0"/>
          </reference>
        </references>
      </pivotArea>
    </chartFormat>
    <chartFormat chart="9" format="37">
      <pivotArea type="data" outline="0" fieldPosition="0">
        <references count="4">
          <reference field="4294967294" count="1" selected="0">
            <x v="2"/>
          </reference>
          <reference field="17" count="1" selected="0">
            <x v="2"/>
          </reference>
          <reference field="18" count="1" selected="0">
            <x v="1"/>
          </reference>
          <reference field="25" count="1" selected="0">
            <x v="1"/>
          </reference>
        </references>
      </pivotArea>
    </chartFormat>
    <chartFormat chart="9" format="38">
      <pivotArea type="data" outline="0" fieldPosition="0">
        <references count="4">
          <reference field="4294967294" count="1" selected="0">
            <x v="2"/>
          </reference>
          <reference field="17" count="1" selected="0">
            <x v="3"/>
          </reference>
          <reference field="18" count="1" selected="0">
            <x v="1"/>
          </reference>
          <reference field="25" count="1" selected="0">
            <x v="0"/>
          </reference>
        </references>
      </pivotArea>
    </chartFormat>
    <chartFormat chart="46" format="6" series="1">
      <pivotArea type="data" outline="0" fieldPosition="0">
        <references count="1">
          <reference field="4294967294" count="1" selected="0">
            <x v="0"/>
          </reference>
        </references>
      </pivotArea>
    </chartFormat>
    <chartFormat chart="46" format="7" series="1">
      <pivotArea type="data" outline="0" fieldPosition="0">
        <references count="1">
          <reference field="4294967294" count="1" selected="0">
            <x v="1"/>
          </reference>
        </references>
      </pivotArea>
    </chartFormat>
    <chartFormat chart="4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2D4CDB-8124-49BD-BFBD-C9E72EBDFA50}" name="PivotTable3" cacheId="3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F13:G24" firstHeaderRow="1" firstDataRow="1" firstDataCol="1"/>
  <pivotFields count="26">
    <pivotField showAll="0"/>
    <pivotField showAll="0"/>
    <pivotField showAll="0"/>
    <pivotField showAll="0"/>
    <pivotField showAll="0"/>
    <pivotField numFmtId="14" showAll="0"/>
    <pivotField numFmtId="14" showAll="0"/>
    <pivotField showAll="0"/>
    <pivotField showAll="0"/>
    <pivotField showAll="0"/>
    <pivotField showAll="0"/>
    <pivotField showAll="0"/>
    <pivotField axis="axisRow" showAll="0">
      <items count="9">
        <item x="2"/>
        <item x="5"/>
        <item x="3"/>
        <item x="0"/>
        <item x="7"/>
        <item x="6"/>
        <item x="4"/>
        <item x="1"/>
        <item t="default"/>
      </items>
    </pivotField>
    <pivotField showAll="0"/>
    <pivotField numFmtId="14" showAll="0"/>
    <pivotField showAll="0"/>
    <pivotField showAll="0">
      <items count="5">
        <item x="0"/>
        <item x="2"/>
        <item x="3"/>
        <item x="1"/>
        <item t="default"/>
      </items>
    </pivotField>
    <pivotField showAll="0"/>
    <pivotField showAll="0">
      <items count="3">
        <item x="0"/>
        <item x="1"/>
        <item t="default"/>
      </items>
    </pivotField>
    <pivotField showAll="0"/>
    <pivotField showAll="0"/>
    <pivotField showAll="0"/>
    <pivotField showAll="0"/>
    <pivotField showAll="0"/>
    <pivotField dataField="1" showAll="0"/>
    <pivotField axis="axisRow" showAll="0">
      <items count="3">
        <item x="0"/>
        <item x="1"/>
        <item t="default"/>
      </items>
    </pivotField>
  </pivotFields>
  <rowFields count="2">
    <field x="25"/>
    <field x="12"/>
  </rowFields>
  <rowItems count="11">
    <i>
      <x/>
    </i>
    <i r="1">
      <x/>
    </i>
    <i r="1">
      <x v="1"/>
    </i>
    <i r="1">
      <x v="2"/>
    </i>
    <i r="1">
      <x v="3"/>
    </i>
    <i r="1">
      <x v="5"/>
    </i>
    <i r="1">
      <x v="6"/>
    </i>
    <i r="1">
      <x v="7"/>
    </i>
    <i>
      <x v="1"/>
    </i>
    <i r="1">
      <x v="4"/>
    </i>
    <i t="grand">
      <x/>
    </i>
  </rowItems>
  <colItems count="1">
    <i/>
  </colItems>
  <dataFields count="1">
    <dataField name="Sum of Month" fld="24" baseField="0" baseItem="0"/>
  </dataFields>
  <formats count="8">
    <format dxfId="122">
      <pivotArea field="16" type="button" dataOnly="0" labelOnly="1" outline="0"/>
    </format>
    <format dxfId="121">
      <pivotArea dataOnly="0" labelOnly="1" outline="0" axis="axisValues" fieldPosition="0"/>
    </format>
    <format dxfId="120">
      <pivotArea field="16" type="button" dataOnly="0" labelOnly="1" outline="0"/>
    </format>
    <format dxfId="119">
      <pivotArea dataOnly="0" labelOnly="1" outline="0" axis="axisValues" fieldPosition="0"/>
    </format>
    <format dxfId="118">
      <pivotArea dataOnly="0" grandRow="1" axis="axisRow" fieldPosition="0"/>
    </format>
    <format dxfId="117">
      <pivotArea dataOnly="0" grandRow="1" axis="axisRow" fieldPosition="0"/>
    </format>
    <format dxfId="116">
      <pivotArea field="25" type="button" dataOnly="0" labelOnly="1" outline="0" axis="axisRow" fieldPosition="0"/>
    </format>
    <format dxfId="115">
      <pivotArea field="25" type="button" dataOnly="0" labelOnly="1" outline="0" axis="axisRow" fieldPosition="0"/>
    </format>
  </formats>
  <chartFormats count="4">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2FAEFD-BBD3-41FE-820C-4A319A88EBED}" name="PivotTable2" cacheId="3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5">
  <location ref="F3:G8" firstHeaderRow="1" firstDataRow="1" firstDataCol="1"/>
  <pivotFields count="26">
    <pivotField showAll="0"/>
    <pivotField showAll="0"/>
    <pivotField showAll="0"/>
    <pivotField showAll="0"/>
    <pivotField showAll="0"/>
    <pivotField numFmtId="14" showAll="0"/>
    <pivotField numFmtId="14" showAll="0"/>
    <pivotField showAll="0"/>
    <pivotField showAll="0"/>
    <pivotField showAll="0"/>
    <pivotField showAll="0"/>
    <pivotField showAll="0"/>
    <pivotField dataField="1" showAll="0"/>
    <pivotField showAll="0"/>
    <pivotField numFmtId="14" showAll="0"/>
    <pivotField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pivotField showAll="0"/>
    <pivotField showAll="0"/>
    <pivotField showAll="0"/>
    <pivotField showAll="0"/>
    <pivotField showAll="0"/>
    <pivotField showAll="0">
      <items count="3">
        <item x="0"/>
        <item x="1"/>
        <item t="default"/>
      </items>
    </pivotField>
  </pivotFields>
  <rowFields count="1">
    <field x="16"/>
  </rowFields>
  <rowItems count="5">
    <i>
      <x v="3"/>
    </i>
    <i>
      <x v="1"/>
    </i>
    <i>
      <x v="2"/>
    </i>
    <i>
      <x/>
    </i>
    <i t="grand">
      <x/>
    </i>
  </rowItems>
  <colItems count="1">
    <i/>
  </colItems>
  <dataFields count="1">
    <dataField name="Sum of Expected_Revenue" fld="12" baseField="0" baseItem="0"/>
  </dataFields>
  <formats count="6">
    <format dxfId="128">
      <pivotArea field="16" type="button" dataOnly="0" labelOnly="1" outline="0" axis="axisRow" fieldPosition="0"/>
    </format>
    <format dxfId="127">
      <pivotArea dataOnly="0" labelOnly="1" outline="0" axis="axisValues" fieldPosition="0"/>
    </format>
    <format dxfId="126">
      <pivotArea field="16" type="button" dataOnly="0" labelOnly="1" outline="0" axis="axisRow" fieldPosition="0"/>
    </format>
    <format dxfId="125">
      <pivotArea dataOnly="0" labelOnly="1" outline="0" axis="axisValues" fieldPosition="0"/>
    </format>
    <format dxfId="124">
      <pivotArea dataOnly="0" grandRow="1" axis="axisRow" fieldPosition="0"/>
    </format>
    <format dxfId="123">
      <pivotArea dataOnly="0" grandRow="1" axis="axisRow" fieldPosition="0"/>
    </format>
  </formats>
  <chartFormats count="6">
    <chartFormat chart="3" format="2"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 chart="24" format="7">
      <pivotArea type="data" outline="0" fieldPosition="0">
        <references count="2">
          <reference field="4294967294" count="1" selected="0">
            <x v="0"/>
          </reference>
          <reference field="16" count="1" selected="0">
            <x v="3"/>
          </reference>
        </references>
      </pivotArea>
    </chartFormat>
    <chartFormat chart="24" format="8">
      <pivotArea type="data" outline="0" fieldPosition="0">
        <references count="2">
          <reference field="4294967294" count="1" selected="0">
            <x v="0"/>
          </reference>
          <reference field="16" count="1" selected="0">
            <x v="1"/>
          </reference>
        </references>
      </pivotArea>
    </chartFormat>
    <chartFormat chart="24" format="9">
      <pivotArea type="data" outline="0" fieldPosition="0">
        <references count="2">
          <reference field="4294967294" count="1" selected="0">
            <x v="0"/>
          </reference>
          <reference field="16" count="1" selected="0">
            <x v="2"/>
          </reference>
        </references>
      </pivotArea>
    </chartFormat>
    <chartFormat chart="24" format="10">
      <pivotArea type="data" outline="0" fieldPosition="0">
        <references count="2">
          <reference field="4294967294" count="1" selected="0">
            <x v="0"/>
          </reference>
          <reference field="1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B85DA412-2594-4AE6-8E36-B903A8E35537}" autoFormatId="16" applyNumberFormats="0" applyBorderFormats="0" applyFontFormats="0" applyPatternFormats="0" applyAlignmentFormats="0" applyWidthHeightFormats="0">
  <queryTableRefresh nextId="29">
    <queryTableFields count="26">
      <queryTableField id="1" name="Rental_ID" tableColumnId="1"/>
      <queryTableField id="2" name="User_ID" tableColumnId="2"/>
      <queryTableField id="3" name="Car_ID" tableColumnId="3"/>
      <queryTableField id="4" name="Pickup_Location" tableColumnId="4"/>
      <queryTableField id="5" name="Return_Location" tableColumnId="5"/>
      <queryTableField id="6" name="Start_Date" tableColumnId="6"/>
      <queryTableField id="7" name="End_Date" tableColumnId="7"/>
      <queryTableField id="8" name="Total_Amount" tableColumnId="8"/>
      <queryTableField id="9" name="Payment_Method" tableColumnId="9"/>
      <queryTableField id="10" name="Status" tableColumnId="10"/>
      <queryTableField id="11" name="Duration_Days" tableColumnId="11"/>
      <queryTableField id="12" name="Unit_Price" tableColumnId="12"/>
      <queryTableField id="13" name="Expected_Revenue" tableColumnId="13"/>
      <queryTableField id="14" name="Discount_Amount" tableColumnId="14"/>
      <queryTableField id="15" name="Booking_Date" tableColumnId="15"/>
      <queryTableField id="16" name="Make_Model" tableColumnId="16"/>
      <queryTableField id="17" name="Category" tableColumnId="17"/>
      <queryTableField id="18" name="Hub_Name" tableColumnId="18"/>
      <queryTableField id="19" name="City" tableColumnId="19"/>
      <queryTableField id="20" name="Hub_Type" tableColumnId="20"/>
      <queryTableField id="21" name="Rental_Days" tableColumnId="21"/>
      <queryTableField id="22" name="Lead_Time" tableColumnId="22"/>
      <queryTableField id="25" name="Day_Name" tableColumnId="23"/>
      <queryTableField id="24" name="Booking_Weekend" tableColumnId="24"/>
      <queryTableField id="26" name="Month" tableColumnId="25"/>
      <queryTableField id="27" name="Month_Name"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C06B6ED-D6F2-4AAC-AEA5-445651201DBE}" sourceName="Category">
  <pivotTables>
    <pivotTable tabId="8" name="PivotTable2"/>
    <pivotTable tabId="8" name="PivotTable3"/>
  </pivotTables>
  <data>
    <tabular pivotCacheId="953579608">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2364B80-6973-42D2-941A-20FE2D363309}" sourceName="City">
  <pivotTables>
    <pivotTable tabId="8" name="PivotTable2"/>
    <pivotTable tabId="8" name="PivotTable3"/>
    <pivotTable tabId="8" name="PivotTable1"/>
  </pivotTables>
  <data>
    <tabular pivotCacheId="95357960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BCD02DA6-E610-4AD1-9C29-82707B35676D}" sourceName="Month_Name">
  <pivotTables>
    <pivotTable tabId="8" name="PivotTable2"/>
    <pivotTable tabId="8" name="PivotTable3"/>
  </pivotTables>
  <data>
    <tabular pivotCacheId="95357960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ên xe" xr10:uid="{572B10CF-14B7-4F25-B7E5-1F71BBF7ED6F}" cache="Slicer_Category" caption="Category" rowHeight="234950"/>
  <slicer name="Thành phố" xr10:uid="{A317489D-C055-42E6-BF3F-5C57F1CA4BB4}" cache="Slicer_City" caption="City" rowHeight="234950"/>
  <slicer name="Month_Name" xr10:uid="{2563C617-914D-486D-903A-171A244A0E3D}" cache="Slicer_Month_Name" caption="Month_Name"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5578BA-1D7C-4D7A-88B3-ED874265F51B}" name="Table2" displayName="Table2" ref="A1:C10" totalsRowShown="0" headerRowDxfId="145" headerRowBorderDxfId="144" tableBorderDxfId="143" totalsRowBorderDxfId="142">
  <autoFilter ref="A1:C10" xr:uid="{465578BA-1D7C-4D7A-88B3-ED874265F51B}"/>
  <tableColumns count="3">
    <tableColumn id="1" xr3:uid="{B659FFE4-DD15-4F48-A5C0-8983F63E1F68}" name="Field Name" dataDxfId="141"/>
    <tableColumn id="2" xr3:uid="{02989B5E-A7F5-48E9-BAE2-44D2214654D0}" name="Data Type" dataDxfId="140"/>
    <tableColumn id="3" xr3:uid="{9AFB516A-5BAC-4046-AC87-87C2C39167E6}" name="Description" dataDxfId="13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E55DEF-AC5D-4831-BE96-4CED8E414A4A}" name="MasterTable" displayName="MasterTable" ref="A1:Z9" tableType="queryTable" totalsRowShown="0">
  <autoFilter ref="A1:Z9" xr:uid="{39E55DEF-AC5D-4831-BE96-4CED8E414A4A}"/>
  <tableColumns count="26">
    <tableColumn id="1" xr3:uid="{F43C9012-9459-4881-8F53-1B627CB84DB1}" uniqueName="1" name="Rental_ID" queryTableFieldId="1" dataDxfId="16"/>
    <tableColumn id="2" xr3:uid="{0E68F373-AAAB-498F-8983-38764D1293DB}" uniqueName="2" name="User_ID" queryTableFieldId="2" dataDxfId="15"/>
    <tableColumn id="3" xr3:uid="{F0970D3A-1255-414E-A56A-A9423955E6EA}" uniqueName="3" name="Car_ID" queryTableFieldId="3" dataDxfId="14"/>
    <tableColumn id="4" xr3:uid="{B762891A-1666-405D-A07B-7AB5BB6CECE7}" uniqueName="4" name="Pickup_Location" queryTableFieldId="4" dataDxfId="13"/>
    <tableColumn id="5" xr3:uid="{69D54F30-B0E2-4594-B7DD-E8231AD1D7FD}" uniqueName="5" name="Return_Location" queryTableFieldId="5" dataDxfId="12"/>
    <tableColumn id="6" xr3:uid="{F5A85F0E-9FAB-4EA4-951A-C37091CC5AEB}" uniqueName="6" name="Start_Date" queryTableFieldId="6" dataDxfId="11"/>
    <tableColumn id="7" xr3:uid="{AF33BBF6-0EA7-4E8E-8EDF-72D5ED0CF306}" uniqueName="7" name="End_Date" queryTableFieldId="7" dataDxfId="10"/>
    <tableColumn id="8" xr3:uid="{6A07D2D1-EC16-4596-A5EA-A50E7D0F6DBF}" uniqueName="8" name="Total_Amount" queryTableFieldId="8"/>
    <tableColumn id="9" xr3:uid="{F5AF4833-C4FE-4A1F-8C3C-3E32CC10C4CB}" uniqueName="9" name="Payment_Method" queryTableFieldId="9" dataDxfId="9"/>
    <tableColumn id="10" xr3:uid="{BBCE249F-B8AD-4361-B325-32FDEBC9326B}" uniqueName="10" name="Status" queryTableFieldId="10" dataDxfId="8"/>
    <tableColumn id="11" xr3:uid="{86DDCEC8-E3B3-4771-949E-E71D558E3B6B}" uniqueName="11" name="Duration_Days" queryTableFieldId="11"/>
    <tableColumn id="12" xr3:uid="{5CE1D5F2-F861-44AE-876D-5A16276CA28F}" uniqueName="12" name="Unit_Price" queryTableFieldId="12"/>
    <tableColumn id="13" xr3:uid="{AB227CDD-FA1C-4204-BB7C-FB5C6A1D3429}" uniqueName="13" name="Expected_Revenue" queryTableFieldId="13"/>
    <tableColumn id="14" xr3:uid="{38BE25F3-7688-422F-BDDD-9FC89A3D4FC0}" uniqueName="14" name="Discount_Amount" queryTableFieldId="14"/>
    <tableColumn id="15" xr3:uid="{BC3CD399-1264-49EC-B780-5DFA14C66CF8}" uniqueName="15" name="Booking_Date" queryTableFieldId="15" dataDxfId="7"/>
    <tableColumn id="16" xr3:uid="{72C2722A-FB9B-480D-9245-A217994F4026}" uniqueName="16" name="Make_Model" queryTableFieldId="16" dataDxfId="6"/>
    <tableColumn id="17" xr3:uid="{B6E49C43-F149-4BB1-9C71-105774E841F5}" uniqueName="17" name="Category" queryTableFieldId="17" dataDxfId="5"/>
    <tableColumn id="18" xr3:uid="{02663A21-DFCD-48C7-A1E1-97BD9CBA29C3}" uniqueName="18" name="Hub_Name" queryTableFieldId="18" dataDxfId="4"/>
    <tableColumn id="19" xr3:uid="{C8525674-E520-4E59-9F89-743FA41F84D4}" uniqueName="19" name="City" queryTableFieldId="19" dataDxfId="3"/>
    <tableColumn id="20" xr3:uid="{FE1CB84E-3654-4E18-8D47-B5C2919BB7B6}" uniqueName="20" name="Hub_Type" queryTableFieldId="20" dataDxfId="2"/>
    <tableColumn id="21" xr3:uid="{75E99FF7-B07B-4E11-9136-13369AFAED5C}" uniqueName="21" name="Rental_Days" queryTableFieldId="21"/>
    <tableColumn id="22" xr3:uid="{689C1708-8E3A-4661-B68F-88303E8BF958}" uniqueName="22" name="Lead_Time" queryTableFieldId="22"/>
    <tableColumn id="23" xr3:uid="{B2D29ABA-5B0F-42B5-A55B-CBA747AA60A5}" uniqueName="23" name="Day_Name" queryTableFieldId="25" dataDxfId="1"/>
    <tableColumn id="24" xr3:uid="{CF56221B-BF37-4B22-A97E-F355B9C4AE2E}" uniqueName="24" name="Booking_Weekend" queryTableFieldId="24"/>
    <tableColumn id="25" xr3:uid="{20FC7419-3B7A-4E1D-96C6-FA25D9452C56}" uniqueName="25" name="Month" queryTableFieldId="26"/>
    <tableColumn id="26" xr3:uid="{1739AD53-3833-45CA-819D-F74DB75E558B}" uniqueName="26" name="Month_Name" queryTableFieldId="27"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5744735-F775-4A07-95D9-43BFCA7D8F12}" name="Table4" displayName="Table4" ref="A2:G5" totalsRowShown="0" headerRowDxfId="138" headerRowBorderDxfId="137" tableBorderDxfId="136">
  <autoFilter ref="A2:G5" xr:uid="{B5744735-F775-4A07-95D9-43BFCA7D8F12}"/>
  <tableColumns count="7">
    <tableColumn id="1" xr3:uid="{8F107977-56DD-4CA9-AE50-7FBCB6D8667D}" name="Issue_ID" dataDxfId="135"/>
    <tableColumn id="2" xr3:uid="{41420E22-5AA3-4087-A4D3-17D80DBEBC65}" name="Error_Type" dataDxfId="134"/>
    <tableColumn id="3" xr3:uid="{35CF8634-F70C-48C3-9AEB-BA1F56D45B01}" name="Detailed_Description" dataDxfId="133"/>
    <tableColumn id="4" xr3:uid="{C048464D-1EBB-416C-AEF8-8D7330B84EFC}" name="Risk" dataDxfId="132"/>
    <tableColumn id="5" xr3:uid="{411DB524-2F2D-4187-9772-EE95400AE6D8}" name="Risk_Level" dataDxfId="131"/>
    <tableColumn id="6" xr3:uid="{E457EB39-238D-4077-AE24-61FA98EFB50C}" name="Suggested_Solution" dataDxfId="130"/>
    <tableColumn id="7" xr3:uid="{E001E4DA-29C7-4B24-892D-F5D523D80EAC}" name="Status" dataDxfId="129"/>
  </tableColumns>
  <tableStyleInfo name="TableStyleLight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3E3ED-6EB2-41DA-853A-51965C4664F2}">
  <dimension ref="A2:B13"/>
  <sheetViews>
    <sheetView showGridLines="0" workbookViewId="0">
      <selection activeCell="B9" sqref="B9"/>
    </sheetView>
  </sheetViews>
  <sheetFormatPr defaultRowHeight="14.4"/>
  <cols>
    <col min="1" max="1" width="23.21875" customWidth="1"/>
    <col min="2" max="2" width="92.44140625" bestFit="1" customWidth="1"/>
  </cols>
  <sheetData>
    <row r="2" spans="1:2" ht="29.4">
      <c r="A2" s="25" t="s">
        <v>100</v>
      </c>
      <c r="B2" s="8" t="s">
        <v>76</v>
      </c>
    </row>
    <row r="3" spans="1:2">
      <c r="A3" s="49" t="s">
        <v>101</v>
      </c>
      <c r="B3" s="26" t="s">
        <v>146</v>
      </c>
    </row>
    <row r="4" spans="1:2">
      <c r="A4" s="50"/>
      <c r="B4" s="26" t="s">
        <v>147</v>
      </c>
    </row>
    <row r="5" spans="1:2">
      <c r="A5" s="51"/>
      <c r="B5" s="26" t="s">
        <v>96</v>
      </c>
    </row>
    <row r="6" spans="1:2">
      <c r="A6" s="49" t="s">
        <v>102</v>
      </c>
      <c r="B6" s="27" t="s">
        <v>97</v>
      </c>
    </row>
    <row r="7" spans="1:2">
      <c r="A7" s="52"/>
      <c r="B7" s="28" t="s">
        <v>98</v>
      </c>
    </row>
    <row r="8" spans="1:2">
      <c r="A8" s="51"/>
      <c r="B8" s="29" t="s">
        <v>99</v>
      </c>
    </row>
    <row r="9" spans="1:2" ht="18" customHeight="1">
      <c r="A9" s="49" t="s">
        <v>89</v>
      </c>
      <c r="B9" s="30" t="s">
        <v>148</v>
      </c>
    </row>
    <row r="10" spans="1:2">
      <c r="A10" s="52"/>
      <c r="B10" s="31" t="s">
        <v>90</v>
      </c>
    </row>
    <row r="11" spans="1:2">
      <c r="A11" s="52"/>
      <c r="B11" s="31" t="s">
        <v>149</v>
      </c>
    </row>
    <row r="12" spans="1:2">
      <c r="A12" s="52"/>
      <c r="B12" s="31" t="s">
        <v>150</v>
      </c>
    </row>
    <row r="13" spans="1:2">
      <c r="A13" s="51"/>
      <c r="B13" s="32" t="s">
        <v>151</v>
      </c>
    </row>
  </sheetData>
  <mergeCells count="3">
    <mergeCell ref="A3:A5"/>
    <mergeCell ref="A6:A8"/>
    <mergeCell ref="A9:A13"/>
  </mergeCells>
  <hyperlinks>
    <hyperlink ref="B9" location="'1. Data Dictionary'!A1" display="1. Data Dictionary" xr:uid="{2EAFFFD3-3201-4840-BEBE-66981D103BA4}"/>
    <hyperlink ref="B10" location="'2. Master Data'!A1" display="2. Master Data" xr:uid="{DCE73EA0-A25B-4B92-B219-EFA728350A8E}"/>
    <hyperlink ref="B11" location="'3. Data Quality Audit'!A1" display="3. Data Quality Audit" xr:uid="{8F3C7559-412F-409B-A402-D16A53ED8950}"/>
    <hyperlink ref="B12" location="'4. Analysis &amp; Insights'!A1" display="4. Analysis &amp; Insights" xr:uid="{CB201CAC-04A9-43D8-BBE1-FFD960D6A15E}"/>
    <hyperlink ref="B13" location="'5. Business Dashboard'!A1" display="5. Business Dashboard" xr:uid="{DBBF9293-725D-4D9B-ADF1-12C61BA9E71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FF93A-DC26-45F0-990D-2A774371757E}">
  <dimension ref="A1:C10"/>
  <sheetViews>
    <sheetView showGridLines="0" workbookViewId="0"/>
  </sheetViews>
  <sheetFormatPr defaultRowHeight="14.4"/>
  <cols>
    <col min="1" max="1" width="17" bestFit="1" customWidth="1"/>
    <col min="2" max="2" width="16.109375" bestFit="1" customWidth="1"/>
    <col min="3" max="3" width="56.88671875" bestFit="1" customWidth="1"/>
  </cols>
  <sheetData>
    <row r="1" spans="1:3" ht="16.2" thickBot="1">
      <c r="A1" s="19" t="s">
        <v>128</v>
      </c>
      <c r="B1" s="20" t="s">
        <v>129</v>
      </c>
      <c r="C1" s="21" t="s">
        <v>130</v>
      </c>
    </row>
    <row r="2" spans="1:3" ht="15" thickBot="1">
      <c r="A2" s="17" t="s">
        <v>39</v>
      </c>
      <c r="B2" s="16" t="s">
        <v>131</v>
      </c>
      <c r="C2" s="18" t="s">
        <v>132</v>
      </c>
    </row>
    <row r="3" spans="1:3" ht="15" thickBot="1">
      <c r="A3" s="17" t="s">
        <v>16</v>
      </c>
      <c r="B3" s="16" t="s">
        <v>131</v>
      </c>
      <c r="C3" s="18" t="s">
        <v>133</v>
      </c>
    </row>
    <row r="4" spans="1:3" ht="15" thickBot="1">
      <c r="A4" s="17" t="s">
        <v>43</v>
      </c>
      <c r="B4" s="16" t="s">
        <v>134</v>
      </c>
      <c r="C4" s="18" t="s">
        <v>135</v>
      </c>
    </row>
    <row r="5" spans="1:3" ht="15" thickBot="1">
      <c r="A5" s="17" t="s">
        <v>45</v>
      </c>
      <c r="B5" s="16" t="s">
        <v>136</v>
      </c>
      <c r="C5" s="18" t="s">
        <v>137</v>
      </c>
    </row>
    <row r="6" spans="1:3" ht="15" thickBot="1">
      <c r="A6" s="17" t="s">
        <v>19</v>
      </c>
      <c r="B6" s="16" t="s">
        <v>131</v>
      </c>
      <c r="C6" s="18" t="s">
        <v>138</v>
      </c>
    </row>
    <row r="7" spans="1:3" ht="15" thickBot="1">
      <c r="A7" s="17" t="s">
        <v>79</v>
      </c>
      <c r="B7" s="16" t="s">
        <v>139</v>
      </c>
      <c r="C7" s="18" t="s">
        <v>140</v>
      </c>
    </row>
    <row r="8" spans="1:3" ht="15" thickBot="1">
      <c r="A8" s="17" t="s">
        <v>141</v>
      </c>
      <c r="B8" s="16" t="s">
        <v>136</v>
      </c>
      <c r="C8" s="18" t="s">
        <v>142</v>
      </c>
    </row>
    <row r="9" spans="1:3" ht="15" thickBot="1">
      <c r="A9" s="17" t="s">
        <v>0</v>
      </c>
      <c r="B9" s="16" t="s">
        <v>131</v>
      </c>
      <c r="C9" s="18" t="s">
        <v>143</v>
      </c>
    </row>
    <row r="10" spans="1:3">
      <c r="A10" s="22" t="s">
        <v>144</v>
      </c>
      <c r="B10" s="23" t="s">
        <v>131</v>
      </c>
      <c r="C10" s="24" t="s">
        <v>145</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84135-7769-4905-AFC6-08F32CA66992}">
  <dimension ref="A1:Z9"/>
  <sheetViews>
    <sheetView showGridLines="0" zoomScale="85" zoomScaleNormal="85" workbookViewId="0">
      <selection sqref="A1:Z9"/>
    </sheetView>
  </sheetViews>
  <sheetFormatPr defaultRowHeight="14.4"/>
  <cols>
    <col min="1" max="1" width="12.109375" bestFit="1" customWidth="1"/>
    <col min="2" max="2" width="10.33203125" bestFit="1" customWidth="1"/>
    <col min="3" max="3" width="9.21875" bestFit="1" customWidth="1"/>
    <col min="4" max="4" width="18.44140625" bestFit="1" customWidth="1"/>
    <col min="5" max="5" width="18.5546875" bestFit="1" customWidth="1"/>
    <col min="6" max="6" width="13.21875" bestFit="1" customWidth="1"/>
    <col min="7" max="7" width="12.109375" bestFit="1" customWidth="1"/>
    <col min="8" max="8" width="16.5546875" bestFit="1" customWidth="1"/>
    <col min="9" max="9" width="19.88671875" bestFit="1" customWidth="1"/>
    <col min="10" max="10" width="10" bestFit="1" customWidth="1"/>
    <col min="11" max="11" width="16.88671875" bestFit="1" customWidth="1"/>
    <col min="12" max="12" width="12.77734375" bestFit="1" customWidth="1"/>
    <col min="13" max="13" width="20.6640625" bestFit="1" customWidth="1"/>
    <col min="14" max="14" width="19.88671875" bestFit="1" customWidth="1"/>
    <col min="15" max="15" width="16.21875" bestFit="1" customWidth="1"/>
    <col min="16" max="16" width="15.21875" bestFit="1" customWidth="1"/>
    <col min="17" max="17" width="11.44140625" bestFit="1" customWidth="1"/>
    <col min="18" max="18" width="19.5546875" bestFit="1" customWidth="1"/>
    <col min="19" max="19" width="11.33203125" bestFit="1" customWidth="1"/>
    <col min="20" max="20" width="12.5546875" bestFit="1" customWidth="1"/>
    <col min="21" max="21" width="14.44140625" bestFit="1" customWidth="1"/>
    <col min="22" max="22" width="13" bestFit="1" customWidth="1"/>
    <col min="23" max="23" width="13.21875" bestFit="1" customWidth="1"/>
    <col min="24" max="24" width="20.6640625" bestFit="1" customWidth="1"/>
    <col min="25" max="25" width="9.6640625" bestFit="1" customWidth="1"/>
    <col min="26" max="26" width="15.88671875" bestFit="1" customWidth="1"/>
    <col min="27" max="27" width="20.6640625" bestFit="1" customWidth="1"/>
    <col min="28" max="28" width="15.6640625" bestFit="1" customWidth="1"/>
    <col min="29" max="29" width="11.88671875" bestFit="1" customWidth="1"/>
    <col min="30" max="30" width="19.44140625" bestFit="1" customWidth="1"/>
    <col min="31" max="31" width="18.5546875" bestFit="1" customWidth="1"/>
    <col min="32" max="32" width="15" bestFit="1" customWidth="1"/>
    <col min="33" max="33" width="14.44140625" bestFit="1" customWidth="1"/>
    <col min="34" max="34" width="10.77734375" bestFit="1" customWidth="1"/>
    <col min="35" max="35" width="18.77734375" bestFit="1" customWidth="1"/>
    <col min="36" max="36" width="10.88671875" bestFit="1" customWidth="1"/>
    <col min="37" max="37" width="12" bestFit="1" customWidth="1"/>
    <col min="38" max="38" width="13.5546875" bestFit="1" customWidth="1"/>
    <col min="39" max="39" width="12.33203125" bestFit="1" customWidth="1"/>
    <col min="40" max="40" width="11.88671875" bestFit="1" customWidth="1"/>
    <col min="41" max="41" width="19.21875" bestFit="1" customWidth="1"/>
  </cols>
  <sheetData>
    <row r="1" spans="1:26">
      <c r="A1" t="s">
        <v>39</v>
      </c>
      <c r="B1" t="s">
        <v>40</v>
      </c>
      <c r="C1" t="s">
        <v>16</v>
      </c>
      <c r="D1" t="s">
        <v>41</v>
      </c>
      <c r="E1" t="s">
        <v>42</v>
      </c>
      <c r="F1" t="s">
        <v>43</v>
      </c>
      <c r="G1" t="s">
        <v>44</v>
      </c>
      <c r="H1" t="s">
        <v>45</v>
      </c>
      <c r="I1" t="s">
        <v>46</v>
      </c>
      <c r="J1" t="s">
        <v>19</v>
      </c>
      <c r="K1" t="s">
        <v>72</v>
      </c>
      <c r="L1" t="s">
        <v>73</v>
      </c>
      <c r="M1" t="s">
        <v>74</v>
      </c>
      <c r="N1" t="s">
        <v>75</v>
      </c>
      <c r="O1" t="s">
        <v>77</v>
      </c>
      <c r="P1" t="s">
        <v>17</v>
      </c>
      <c r="Q1" t="s">
        <v>18</v>
      </c>
      <c r="R1" t="s">
        <v>0</v>
      </c>
      <c r="S1" t="s">
        <v>1</v>
      </c>
      <c r="T1" t="s">
        <v>2</v>
      </c>
      <c r="U1" t="s">
        <v>78</v>
      </c>
      <c r="V1" t="s">
        <v>79</v>
      </c>
      <c r="W1" t="s">
        <v>121</v>
      </c>
      <c r="X1" t="s">
        <v>80</v>
      </c>
      <c r="Y1" t="s">
        <v>122</v>
      </c>
      <c r="Z1" t="s">
        <v>123</v>
      </c>
    </row>
    <row r="2" spans="1:26">
      <c r="A2" s="1" t="s">
        <v>54</v>
      </c>
      <c r="B2" s="1" t="s">
        <v>55</v>
      </c>
      <c r="C2" s="1" t="s">
        <v>30</v>
      </c>
      <c r="D2" s="1" t="s">
        <v>10</v>
      </c>
      <c r="E2" s="1" t="s">
        <v>10</v>
      </c>
      <c r="F2" s="3">
        <v>45662</v>
      </c>
      <c r="G2" s="3">
        <v>45667</v>
      </c>
      <c r="H2">
        <v>3000000</v>
      </c>
      <c r="I2" s="1" t="s">
        <v>56</v>
      </c>
      <c r="J2" s="1" t="s">
        <v>50</v>
      </c>
      <c r="K2">
        <v>5</v>
      </c>
      <c r="L2">
        <v>600000</v>
      </c>
      <c r="M2">
        <v>3000000</v>
      </c>
      <c r="N2">
        <v>0</v>
      </c>
      <c r="O2" s="3">
        <v>45658</v>
      </c>
      <c r="P2" s="1" t="s">
        <v>31</v>
      </c>
      <c r="Q2" s="1" t="s">
        <v>32</v>
      </c>
      <c r="R2" s="1" t="s">
        <v>11</v>
      </c>
      <c r="S2" s="1" t="s">
        <v>12</v>
      </c>
      <c r="T2" s="1" t="s">
        <v>13</v>
      </c>
      <c r="U2">
        <v>6</v>
      </c>
      <c r="V2">
        <v>4</v>
      </c>
      <c r="W2" s="1" t="s">
        <v>86</v>
      </c>
      <c r="X2" t="s">
        <v>85</v>
      </c>
      <c r="Y2">
        <v>1</v>
      </c>
      <c r="Z2" s="1" t="s">
        <v>124</v>
      </c>
    </row>
    <row r="3" spans="1:26">
      <c r="A3" s="1" t="s">
        <v>57</v>
      </c>
      <c r="B3" s="1" t="s">
        <v>58</v>
      </c>
      <c r="C3" s="1" t="s">
        <v>33</v>
      </c>
      <c r="D3" s="1" t="s">
        <v>14</v>
      </c>
      <c r="E3" s="1" t="s">
        <v>3</v>
      </c>
      <c r="F3" s="3">
        <v>45667</v>
      </c>
      <c r="G3" s="3">
        <v>45672</v>
      </c>
      <c r="H3">
        <v>6500000</v>
      </c>
      <c r="I3" s="1" t="s">
        <v>59</v>
      </c>
      <c r="J3" s="1" t="s">
        <v>50</v>
      </c>
      <c r="K3">
        <v>5</v>
      </c>
      <c r="L3">
        <v>1300000</v>
      </c>
      <c r="M3">
        <v>6500000</v>
      </c>
      <c r="N3">
        <v>0</v>
      </c>
      <c r="O3" s="3">
        <v>45662</v>
      </c>
      <c r="P3" s="1" t="s">
        <v>34</v>
      </c>
      <c r="Q3" s="1" t="s">
        <v>25</v>
      </c>
      <c r="R3" s="1" t="s">
        <v>15</v>
      </c>
      <c r="S3" s="1" t="s">
        <v>12</v>
      </c>
      <c r="T3" s="1" t="s">
        <v>6</v>
      </c>
      <c r="U3">
        <v>6</v>
      </c>
      <c r="V3">
        <v>5</v>
      </c>
      <c r="W3" s="1" t="s">
        <v>87</v>
      </c>
      <c r="X3" t="s">
        <v>82</v>
      </c>
      <c r="Y3">
        <v>1</v>
      </c>
      <c r="Z3" s="1" t="s">
        <v>124</v>
      </c>
    </row>
    <row r="4" spans="1:26">
      <c r="A4" s="1" t="s">
        <v>69</v>
      </c>
      <c r="B4" s="1" t="s">
        <v>70</v>
      </c>
      <c r="C4" s="1" t="s">
        <v>35</v>
      </c>
      <c r="D4" s="1" t="s">
        <v>10</v>
      </c>
      <c r="E4" s="1" t="s">
        <v>14</v>
      </c>
      <c r="F4" s="3">
        <v>45677</v>
      </c>
      <c r="G4" s="3">
        <v>45679</v>
      </c>
      <c r="H4">
        <v>1000000</v>
      </c>
      <c r="I4" s="1" t="s">
        <v>56</v>
      </c>
      <c r="J4" s="1" t="s">
        <v>71</v>
      </c>
      <c r="K4">
        <v>2</v>
      </c>
      <c r="L4">
        <v>500000</v>
      </c>
      <c r="M4">
        <v>1000000</v>
      </c>
      <c r="N4">
        <v>0</v>
      </c>
      <c r="O4" s="3">
        <v>45676</v>
      </c>
      <c r="P4" s="1" t="s">
        <v>36</v>
      </c>
      <c r="Q4" s="1" t="s">
        <v>32</v>
      </c>
      <c r="R4" s="1" t="s">
        <v>11</v>
      </c>
      <c r="S4" s="1" t="s">
        <v>12</v>
      </c>
      <c r="T4" s="1" t="s">
        <v>13</v>
      </c>
      <c r="U4">
        <v>3</v>
      </c>
      <c r="V4">
        <v>1</v>
      </c>
      <c r="W4" s="1" t="s">
        <v>88</v>
      </c>
      <c r="X4" t="s">
        <v>82</v>
      </c>
      <c r="Y4">
        <v>1</v>
      </c>
      <c r="Z4" s="1" t="s">
        <v>124</v>
      </c>
    </row>
    <row r="5" spans="1:26">
      <c r="A5" s="1" t="s">
        <v>60</v>
      </c>
      <c r="B5" s="1" t="s">
        <v>61</v>
      </c>
      <c r="C5" s="1" t="s">
        <v>37</v>
      </c>
      <c r="D5" s="1" t="s">
        <v>3</v>
      </c>
      <c r="E5" s="1" t="s">
        <v>3</v>
      </c>
      <c r="F5" s="3">
        <v>45669</v>
      </c>
      <c r="G5" s="3">
        <v>45671</v>
      </c>
      <c r="H5">
        <v>2900000</v>
      </c>
      <c r="I5" s="1" t="s">
        <v>49</v>
      </c>
      <c r="J5" s="1" t="s">
        <v>50</v>
      </c>
      <c r="K5">
        <v>2</v>
      </c>
      <c r="L5">
        <v>1450000</v>
      </c>
      <c r="M5">
        <v>2900000</v>
      </c>
      <c r="N5">
        <v>0</v>
      </c>
      <c r="O5" s="3">
        <v>45667</v>
      </c>
      <c r="P5" s="1" t="s">
        <v>38</v>
      </c>
      <c r="Q5" s="1" t="s">
        <v>25</v>
      </c>
      <c r="R5" s="1" t="s">
        <v>4</v>
      </c>
      <c r="S5" s="1" t="s">
        <v>5</v>
      </c>
      <c r="T5" s="1" t="s">
        <v>6</v>
      </c>
      <c r="U5">
        <v>3</v>
      </c>
      <c r="V5">
        <v>2</v>
      </c>
      <c r="W5" s="1" t="s">
        <v>86</v>
      </c>
      <c r="X5" t="s">
        <v>85</v>
      </c>
      <c r="Y5">
        <v>1</v>
      </c>
      <c r="Z5" s="1" t="s">
        <v>124</v>
      </c>
    </row>
    <row r="6" spans="1:26">
      <c r="A6" s="1" t="s">
        <v>66</v>
      </c>
      <c r="B6" s="1" t="s">
        <v>67</v>
      </c>
      <c r="C6" s="1" t="s">
        <v>27</v>
      </c>
      <c r="D6" s="1" t="s">
        <v>7</v>
      </c>
      <c r="E6" s="1" t="s">
        <v>7</v>
      </c>
      <c r="F6" s="3">
        <v>45675</v>
      </c>
      <c r="G6" s="3">
        <v>45677</v>
      </c>
      <c r="H6">
        <v>5000000</v>
      </c>
      <c r="I6" s="1" t="s">
        <v>53</v>
      </c>
      <c r="J6" s="1" t="s">
        <v>68</v>
      </c>
      <c r="K6">
        <v>2</v>
      </c>
      <c r="L6">
        <v>2500000</v>
      </c>
      <c r="M6">
        <v>5000000</v>
      </c>
      <c r="N6">
        <v>0</v>
      </c>
      <c r="O6" s="3">
        <v>45674</v>
      </c>
      <c r="P6" s="1" t="s">
        <v>28</v>
      </c>
      <c r="Q6" s="1" t="s">
        <v>29</v>
      </c>
      <c r="R6" s="1" t="s">
        <v>8</v>
      </c>
      <c r="S6" s="1" t="s">
        <v>5</v>
      </c>
      <c r="T6" s="1" t="s">
        <v>9</v>
      </c>
      <c r="U6">
        <v>3</v>
      </c>
      <c r="V6">
        <v>1</v>
      </c>
      <c r="W6" s="1" t="s">
        <v>84</v>
      </c>
      <c r="X6" t="s">
        <v>85</v>
      </c>
      <c r="Y6">
        <v>1</v>
      </c>
      <c r="Z6" s="1" t="s">
        <v>124</v>
      </c>
    </row>
    <row r="7" spans="1:26">
      <c r="A7" s="1" t="s">
        <v>51</v>
      </c>
      <c r="B7" s="1" t="s">
        <v>52</v>
      </c>
      <c r="C7" s="1" t="s">
        <v>23</v>
      </c>
      <c r="D7" s="1" t="s">
        <v>3</v>
      </c>
      <c r="E7" s="1" t="s">
        <v>7</v>
      </c>
      <c r="F7" s="3">
        <v>45659</v>
      </c>
      <c r="G7" s="3">
        <v>45661</v>
      </c>
      <c r="H7">
        <v>1600000</v>
      </c>
      <c r="I7" s="1" t="s">
        <v>53</v>
      </c>
      <c r="J7" s="1" t="s">
        <v>50</v>
      </c>
      <c r="K7">
        <v>2</v>
      </c>
      <c r="L7">
        <v>800000</v>
      </c>
      <c r="M7">
        <v>1600000</v>
      </c>
      <c r="N7">
        <v>0</v>
      </c>
      <c r="O7" s="3">
        <v>45656</v>
      </c>
      <c r="P7" s="1" t="s">
        <v>21</v>
      </c>
      <c r="Q7" s="1" t="s">
        <v>22</v>
      </c>
      <c r="R7" s="1" t="s">
        <v>4</v>
      </c>
      <c r="S7" s="1" t="s">
        <v>5</v>
      </c>
      <c r="T7" s="1" t="s">
        <v>6</v>
      </c>
      <c r="U7">
        <v>3</v>
      </c>
      <c r="V7">
        <v>3</v>
      </c>
      <c r="W7" s="1" t="s">
        <v>83</v>
      </c>
      <c r="X7" t="s">
        <v>82</v>
      </c>
      <c r="Y7">
        <v>1</v>
      </c>
      <c r="Z7" s="1" t="s">
        <v>124</v>
      </c>
    </row>
    <row r="8" spans="1:26">
      <c r="A8" s="1" t="s">
        <v>62</v>
      </c>
      <c r="B8" s="1" t="s">
        <v>63</v>
      </c>
      <c r="C8" s="1" t="s">
        <v>26</v>
      </c>
      <c r="D8" s="1" t="s">
        <v>7</v>
      </c>
      <c r="E8" s="1" t="s">
        <v>7</v>
      </c>
      <c r="F8" s="3">
        <v>45672</v>
      </c>
      <c r="G8" s="3">
        <v>45675</v>
      </c>
      <c r="H8">
        <v>3600000</v>
      </c>
      <c r="I8" s="1" t="s">
        <v>64</v>
      </c>
      <c r="J8" s="1" t="s">
        <v>65</v>
      </c>
      <c r="K8">
        <v>3</v>
      </c>
      <c r="L8">
        <v>1200000</v>
      </c>
      <c r="M8">
        <v>3600000</v>
      </c>
      <c r="N8">
        <v>0</v>
      </c>
      <c r="O8" s="3">
        <v>45669</v>
      </c>
      <c r="P8" s="1" t="s">
        <v>24</v>
      </c>
      <c r="Q8" s="1" t="s">
        <v>25</v>
      </c>
      <c r="R8" s="1" t="s">
        <v>8</v>
      </c>
      <c r="S8" s="1" t="s">
        <v>5</v>
      </c>
      <c r="T8" s="1" t="s">
        <v>9</v>
      </c>
      <c r="U8">
        <v>4</v>
      </c>
      <c r="V8">
        <v>3</v>
      </c>
      <c r="W8" s="1" t="s">
        <v>81</v>
      </c>
      <c r="X8" t="s">
        <v>82</v>
      </c>
      <c r="Y8">
        <v>1</v>
      </c>
      <c r="Z8" s="1" t="s">
        <v>124</v>
      </c>
    </row>
    <row r="9" spans="1:26">
      <c r="A9" s="1" t="s">
        <v>47</v>
      </c>
      <c r="B9" s="1" t="s">
        <v>48</v>
      </c>
      <c r="C9" s="1" t="s">
        <v>20</v>
      </c>
      <c r="D9" s="1" t="s">
        <v>3</v>
      </c>
      <c r="E9" s="1" t="s">
        <v>3</v>
      </c>
      <c r="F9" s="3">
        <v>45689</v>
      </c>
      <c r="G9" s="3">
        <v>45693</v>
      </c>
      <c r="H9">
        <v>3200000</v>
      </c>
      <c r="I9" s="1" t="s">
        <v>49</v>
      </c>
      <c r="J9" s="1" t="s">
        <v>50</v>
      </c>
      <c r="K9">
        <v>4</v>
      </c>
      <c r="L9">
        <v>800000</v>
      </c>
      <c r="M9">
        <v>3200000</v>
      </c>
      <c r="N9">
        <v>0</v>
      </c>
      <c r="O9" s="3">
        <v>45654</v>
      </c>
      <c r="P9" s="1" t="s">
        <v>21</v>
      </c>
      <c r="Q9" s="1" t="s">
        <v>22</v>
      </c>
      <c r="R9" s="1" t="s">
        <v>4</v>
      </c>
      <c r="S9" s="1" t="s">
        <v>5</v>
      </c>
      <c r="T9" s="1" t="s">
        <v>6</v>
      </c>
      <c r="U9">
        <v>5</v>
      </c>
      <c r="V9">
        <v>35</v>
      </c>
      <c r="W9" s="1" t="s">
        <v>84</v>
      </c>
      <c r="X9" t="s">
        <v>85</v>
      </c>
      <c r="Y9">
        <v>2</v>
      </c>
      <c r="Z9" s="1" t="s">
        <v>125</v>
      </c>
    </row>
  </sheetData>
  <phoneticPr fontId="7"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D4695-CA82-4FE9-B783-4C3FA295F4E4}">
  <dimension ref="A2:G6"/>
  <sheetViews>
    <sheetView showGridLines="0" zoomScale="85" zoomScaleNormal="85" workbookViewId="0">
      <selection activeCell="C10" sqref="C10"/>
    </sheetView>
  </sheetViews>
  <sheetFormatPr defaultRowHeight="14.4"/>
  <cols>
    <col min="1" max="1" width="15.5546875" style="7" bestFit="1" customWidth="1"/>
    <col min="2" max="2" width="33.5546875" style="2" bestFit="1" customWidth="1"/>
    <col min="3" max="3" width="52.88671875" style="2" bestFit="1" customWidth="1"/>
    <col min="4" max="4" width="49.77734375" customWidth="1"/>
    <col min="5" max="5" width="18.88671875" style="7" customWidth="1"/>
    <col min="6" max="6" width="52.6640625" style="2" bestFit="1" customWidth="1"/>
    <col min="7" max="7" width="13.33203125" bestFit="1" customWidth="1"/>
  </cols>
  <sheetData>
    <row r="2" spans="1:7" ht="31.2" customHeight="1">
      <c r="A2" s="33" t="s">
        <v>91</v>
      </c>
      <c r="B2" s="34" t="s">
        <v>92</v>
      </c>
      <c r="C2" s="34" t="s">
        <v>93</v>
      </c>
      <c r="D2" s="34" t="s">
        <v>113</v>
      </c>
      <c r="E2" s="34" t="s">
        <v>117</v>
      </c>
      <c r="F2" s="34" t="s">
        <v>94</v>
      </c>
      <c r="G2" s="35" t="s">
        <v>19</v>
      </c>
    </row>
    <row r="3" spans="1:7" ht="51" customHeight="1">
      <c r="A3" s="39">
        <v>1</v>
      </c>
      <c r="B3" s="40" t="s">
        <v>95</v>
      </c>
      <c r="C3" s="41" t="s">
        <v>114</v>
      </c>
      <c r="D3" s="41" t="s">
        <v>103</v>
      </c>
      <c r="E3" s="40" t="s">
        <v>115</v>
      </c>
      <c r="F3" s="41" t="s">
        <v>104</v>
      </c>
      <c r="G3" s="36" t="s">
        <v>127</v>
      </c>
    </row>
    <row r="4" spans="1:7" ht="49.8" customHeight="1">
      <c r="A4" s="39">
        <v>2</v>
      </c>
      <c r="B4" s="42" t="s">
        <v>105</v>
      </c>
      <c r="C4" s="43" t="s">
        <v>106</v>
      </c>
      <c r="D4" s="43" t="s">
        <v>107</v>
      </c>
      <c r="E4" s="40" t="s">
        <v>116</v>
      </c>
      <c r="F4" s="41" t="s">
        <v>108</v>
      </c>
      <c r="G4" s="37" t="s">
        <v>127</v>
      </c>
    </row>
    <row r="5" spans="1:7" ht="49.2" customHeight="1">
      <c r="A5" s="44">
        <v>3</v>
      </c>
      <c r="B5" s="45" t="s">
        <v>109</v>
      </c>
      <c r="C5" s="46" t="s">
        <v>110</v>
      </c>
      <c r="D5" s="46" t="s">
        <v>111</v>
      </c>
      <c r="E5" s="47" t="s">
        <v>116</v>
      </c>
      <c r="F5" s="48" t="s">
        <v>112</v>
      </c>
      <c r="G5" s="38" t="s">
        <v>127</v>
      </c>
    </row>
    <row r="6" spans="1:7">
      <c r="F6" s="9"/>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CDF36-53A6-4D0A-A571-EE13CD3CCE51}">
  <dimension ref="A3:G24"/>
  <sheetViews>
    <sheetView showGridLines="0" workbookViewId="0">
      <selection activeCell="J14" sqref="J14"/>
    </sheetView>
  </sheetViews>
  <sheetFormatPr defaultRowHeight="14.4"/>
  <cols>
    <col min="1" max="1" width="23.77734375" bestFit="1" customWidth="1"/>
    <col min="2" max="2" width="18.44140625" bestFit="1" customWidth="1"/>
    <col min="3" max="3" width="19.5546875" bestFit="1" customWidth="1"/>
    <col min="4" max="4" width="14.44140625" bestFit="1" customWidth="1"/>
    <col min="6" max="6" width="12.5546875" bestFit="1" customWidth="1"/>
    <col min="7" max="7" width="23.77734375" bestFit="1" customWidth="1"/>
    <col min="8" max="8" width="21.109375" bestFit="1" customWidth="1"/>
    <col min="9" max="9" width="19.77734375" bestFit="1" customWidth="1"/>
  </cols>
  <sheetData>
    <row r="3" spans="1:7">
      <c r="A3" s="11" t="s">
        <v>118</v>
      </c>
      <c r="B3" s="11" t="s">
        <v>153</v>
      </c>
      <c r="C3" s="11" t="s">
        <v>154</v>
      </c>
      <c r="D3" s="11" t="s">
        <v>152</v>
      </c>
      <c r="F3" s="11" t="s">
        <v>118</v>
      </c>
      <c r="G3" s="11" t="s">
        <v>120</v>
      </c>
    </row>
    <row r="4" spans="1:7">
      <c r="A4" s="6" t="s">
        <v>12</v>
      </c>
      <c r="B4" s="1">
        <v>3</v>
      </c>
      <c r="C4" s="1">
        <v>5</v>
      </c>
      <c r="D4" s="10">
        <v>10500000</v>
      </c>
      <c r="F4" s="6" t="s">
        <v>25</v>
      </c>
      <c r="G4" s="1">
        <v>13000000</v>
      </c>
    </row>
    <row r="5" spans="1:7">
      <c r="A5" s="4" t="s">
        <v>11</v>
      </c>
      <c r="B5" s="1">
        <v>2</v>
      </c>
      <c r="C5" s="1">
        <v>4.5</v>
      </c>
      <c r="D5" s="10">
        <v>4000000</v>
      </c>
      <c r="F5" s="6" t="s">
        <v>29</v>
      </c>
      <c r="G5" s="1">
        <v>5000000</v>
      </c>
    </row>
    <row r="6" spans="1:7">
      <c r="A6" s="5" t="s">
        <v>124</v>
      </c>
      <c r="B6" s="1">
        <v>2</v>
      </c>
      <c r="C6" s="1">
        <v>4.5</v>
      </c>
      <c r="D6" s="10">
        <v>4000000</v>
      </c>
      <c r="F6" s="6" t="s">
        <v>22</v>
      </c>
      <c r="G6" s="1">
        <v>4800000</v>
      </c>
    </row>
    <row r="7" spans="1:7">
      <c r="A7" s="4" t="s">
        <v>15</v>
      </c>
      <c r="B7" s="1">
        <v>1</v>
      </c>
      <c r="C7" s="1">
        <v>6</v>
      </c>
      <c r="D7" s="10">
        <v>6500000</v>
      </c>
      <c r="F7" s="6" t="s">
        <v>32</v>
      </c>
      <c r="G7" s="1">
        <v>4000000</v>
      </c>
    </row>
    <row r="8" spans="1:7">
      <c r="A8" s="5" t="s">
        <v>124</v>
      </c>
      <c r="B8" s="1">
        <v>1</v>
      </c>
      <c r="C8" s="1">
        <v>6</v>
      </c>
      <c r="D8" s="10">
        <v>6500000</v>
      </c>
      <c r="F8" s="12" t="s">
        <v>119</v>
      </c>
      <c r="G8" s="13">
        <v>26800000</v>
      </c>
    </row>
    <row r="9" spans="1:7">
      <c r="A9" s="6" t="s">
        <v>5</v>
      </c>
      <c r="B9" s="1">
        <v>5</v>
      </c>
      <c r="C9" s="1">
        <v>3.6</v>
      </c>
      <c r="D9" s="10">
        <v>16300000</v>
      </c>
    </row>
    <row r="10" spans="1:7">
      <c r="A10" s="4" t="s">
        <v>4</v>
      </c>
      <c r="B10" s="1">
        <v>3</v>
      </c>
      <c r="C10" s="1">
        <v>3.6666666666666665</v>
      </c>
      <c r="D10" s="10">
        <v>7700000</v>
      </c>
    </row>
    <row r="11" spans="1:7">
      <c r="A11" s="5" t="s">
        <v>124</v>
      </c>
      <c r="B11" s="1">
        <v>2</v>
      </c>
      <c r="C11" s="1">
        <v>3</v>
      </c>
      <c r="D11" s="10">
        <v>4500000</v>
      </c>
    </row>
    <row r="12" spans="1:7">
      <c r="A12" s="5" t="s">
        <v>125</v>
      </c>
      <c r="B12" s="1">
        <v>1</v>
      </c>
      <c r="C12" s="1">
        <v>5</v>
      </c>
      <c r="D12" s="10">
        <v>3200000</v>
      </c>
    </row>
    <row r="13" spans="1:7">
      <c r="A13" s="4" t="s">
        <v>8</v>
      </c>
      <c r="B13" s="1">
        <v>2</v>
      </c>
      <c r="C13" s="1">
        <v>3.5</v>
      </c>
      <c r="D13" s="10">
        <v>8600000</v>
      </c>
      <c r="F13" s="11" t="s">
        <v>118</v>
      </c>
      <c r="G13" s="11" t="s">
        <v>126</v>
      </c>
    </row>
    <row r="14" spans="1:7">
      <c r="A14" s="5" t="s">
        <v>124</v>
      </c>
      <c r="B14" s="1">
        <v>2</v>
      </c>
      <c r="C14" s="1">
        <v>3.5</v>
      </c>
      <c r="D14" s="10">
        <v>8600000</v>
      </c>
      <c r="F14" s="6" t="s">
        <v>124</v>
      </c>
      <c r="G14" s="1">
        <v>7</v>
      </c>
    </row>
    <row r="15" spans="1:7">
      <c r="A15" s="12" t="s">
        <v>119</v>
      </c>
      <c r="B15" s="13">
        <v>8</v>
      </c>
      <c r="C15" s="13">
        <v>4.125</v>
      </c>
      <c r="D15" s="14">
        <v>26800000</v>
      </c>
      <c r="F15" s="4">
        <v>1000000</v>
      </c>
      <c r="G15" s="1">
        <v>1</v>
      </c>
    </row>
    <row r="16" spans="1:7">
      <c r="F16" s="4">
        <v>1600000</v>
      </c>
      <c r="G16" s="1">
        <v>1</v>
      </c>
    </row>
    <row r="17" spans="4:7">
      <c r="D17" s="10"/>
      <c r="F17" s="4">
        <v>2900000</v>
      </c>
      <c r="G17" s="1">
        <v>1</v>
      </c>
    </row>
    <row r="18" spans="4:7">
      <c r="F18" s="4">
        <v>3000000</v>
      </c>
      <c r="G18" s="1">
        <v>1</v>
      </c>
    </row>
    <row r="19" spans="4:7">
      <c r="F19" s="4">
        <v>3600000</v>
      </c>
      <c r="G19" s="1">
        <v>1</v>
      </c>
    </row>
    <row r="20" spans="4:7">
      <c r="F20" s="4">
        <v>5000000</v>
      </c>
      <c r="G20" s="1">
        <v>1</v>
      </c>
    </row>
    <row r="21" spans="4:7">
      <c r="F21" s="4">
        <v>6500000</v>
      </c>
      <c r="G21" s="1">
        <v>1</v>
      </c>
    </row>
    <row r="22" spans="4:7">
      <c r="F22" s="6" t="s">
        <v>125</v>
      </c>
      <c r="G22" s="1">
        <v>2</v>
      </c>
    </row>
    <row r="23" spans="4:7">
      <c r="F23" s="4">
        <v>3200000</v>
      </c>
      <c r="G23" s="1">
        <v>2</v>
      </c>
    </row>
    <row r="24" spans="4:7">
      <c r="F24" s="12" t="s">
        <v>119</v>
      </c>
      <c r="G24" s="13">
        <v>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0F732-2259-46E8-83C5-7F301B3D5C03}">
  <dimension ref="A2:A8"/>
  <sheetViews>
    <sheetView showGridLines="0" tabSelected="1" zoomScale="49" zoomScaleNormal="55" workbookViewId="0">
      <selection activeCell="AB41" sqref="AB41"/>
    </sheetView>
  </sheetViews>
  <sheetFormatPr defaultRowHeight="14.4"/>
  <cols>
    <col min="1" max="1" width="9.6640625" style="15" customWidth="1"/>
    <col min="2" max="2" width="9.5546875" style="15" customWidth="1"/>
    <col min="3" max="16384" width="8.88671875" style="15"/>
  </cols>
  <sheetData>
    <row r="2" s="15" customFormat="1" ht="22.2" customHeight="1"/>
    <row r="3" s="15" customFormat="1" ht="20.399999999999999" customHeight="1"/>
    <row r="4" s="15" customFormat="1" ht="23.4" customHeight="1"/>
    <row r="5" s="15" customFormat="1" ht="21" customHeight="1"/>
    <row r="6" s="15" customFormat="1" ht="20.399999999999999" customHeight="1"/>
    <row r="7" s="15" customFormat="1" ht="21.6" customHeight="1"/>
    <row r="8" s="15" customFormat="1" ht="19.8" customHeight="1"/>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33825CC-9C63-4EC3-A0B6-7B77E784FD3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0. Executive Summary</vt:lpstr>
      <vt:lpstr>1. Data Dictionary</vt:lpstr>
      <vt:lpstr>2. Master Data</vt:lpstr>
      <vt:lpstr>3. Data Quality Audit</vt:lpstr>
      <vt:lpstr>4. Analysis &amp; Insights</vt:lpstr>
      <vt:lpstr>5. Business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Ngô Văn Dương</dc:creator>
  <cp:lastModifiedBy>Ngô Văn Dương</cp:lastModifiedBy>
  <dcterms:created xsi:type="dcterms:W3CDTF">2026-01-19T14:38:09Z</dcterms:created>
  <dcterms:modified xsi:type="dcterms:W3CDTF">2026-01-20T08:20:16Z</dcterms:modified>
</cp:coreProperties>
</file>